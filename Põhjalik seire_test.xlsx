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filterPrivacy="1"/>
  <xr:revisionPtr revIDLastSave="0" documentId="8_{DC184A78-F73A-4DD3-9FE2-F10A882C08E4}" xr6:coauthVersionLast="47" xr6:coauthVersionMax="47" xr10:uidLastSave="{00000000-0000-0000-0000-000000000000}"/>
  <bookViews>
    <workbookView xWindow="-51720" yWindow="-5670" windowWidth="51840" windowHeight="21120" activeTab="2" xr2:uid="{00000000-000D-0000-FFFF-FFFF00000000}"/>
  </bookViews>
  <sheets>
    <sheet name="Tiitelleht" sheetId="14" r:id="rId1"/>
    <sheet name="Valim ja tulemused" sheetId="9" r:id="rId2"/>
    <sheet name="Veebid" sheetId="16" r:id="rId3"/>
  </sheets>
  <definedNames>
    <definedName name="_xlnm._FilterDatabase" localSheetId="2" hidden="1">Veebid!$A$3:$AP$101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8" i="16" l="1"/>
  <c r="T9" i="16"/>
  <c r="T10" i="16"/>
  <c r="T11" i="16"/>
  <c r="T12" i="16"/>
  <c r="T13" i="16"/>
  <c r="T14" i="16"/>
  <c r="T15" i="16"/>
  <c r="T16" i="16"/>
  <c r="T17" i="16"/>
  <c r="T18" i="16"/>
  <c r="T19" i="16"/>
  <c r="T20" i="16"/>
  <c r="T21" i="16"/>
  <c r="T22" i="16"/>
  <c r="T23" i="16"/>
  <c r="T24" i="16"/>
  <c r="T25" i="16"/>
  <c r="T26" i="16"/>
  <c r="T27" i="16"/>
  <c r="T28" i="16"/>
  <c r="T29" i="16"/>
  <c r="T30" i="16"/>
  <c r="T31" i="16"/>
  <c r="T32" i="16"/>
  <c r="T33" i="16"/>
  <c r="T34" i="16"/>
  <c r="T35" i="16"/>
  <c r="T36" i="16"/>
  <c r="T37" i="16"/>
  <c r="T38" i="16"/>
  <c r="T39" i="16"/>
  <c r="T40" i="16"/>
  <c r="T41" i="16"/>
  <c r="T42" i="16"/>
  <c r="T43" i="16"/>
  <c r="T44" i="16"/>
  <c r="T45" i="16"/>
  <c r="T46" i="16"/>
  <c r="T47" i="16"/>
  <c r="T48" i="16"/>
  <c r="T49" i="16"/>
  <c r="T50" i="16"/>
  <c r="T51" i="16"/>
  <c r="T52" i="16"/>
  <c r="T53" i="16"/>
  <c r="T54" i="16"/>
  <c r="T55" i="16"/>
  <c r="T56" i="16"/>
  <c r="T57" i="16"/>
  <c r="T58" i="16"/>
  <c r="T59" i="16"/>
  <c r="T60" i="16"/>
  <c r="T61" i="16"/>
  <c r="T62" i="16"/>
  <c r="T63" i="16"/>
  <c r="T64" i="16"/>
  <c r="T65" i="16"/>
  <c r="T66" i="16"/>
  <c r="T67" i="16"/>
  <c r="T68" i="16"/>
  <c r="T69" i="16"/>
  <c r="T70" i="16"/>
  <c r="T71" i="16"/>
  <c r="T72" i="16"/>
  <c r="T73" i="16"/>
  <c r="T74" i="16"/>
  <c r="T75" i="16"/>
  <c r="T76" i="16"/>
  <c r="T77" i="16"/>
  <c r="T78" i="16"/>
  <c r="T79" i="16"/>
  <c r="T80" i="16"/>
  <c r="T81" i="16"/>
  <c r="T82" i="16"/>
  <c r="T83" i="16"/>
  <c r="T84" i="16"/>
  <c r="T85" i="16"/>
  <c r="T86" i="16"/>
  <c r="T87" i="16"/>
  <c r="T88" i="16"/>
  <c r="T89" i="16"/>
  <c r="T90" i="16"/>
  <c r="T91" i="16"/>
  <c r="T92" i="16"/>
  <c r="T93" i="16"/>
  <c r="T94" i="16"/>
  <c r="T95" i="16"/>
  <c r="T96" i="16"/>
  <c r="T97" i="16"/>
  <c r="T98" i="16"/>
  <c r="T99" i="16"/>
  <c r="T100" i="16"/>
  <c r="T5" i="16"/>
  <c r="T6" i="16"/>
  <c r="T7" i="16"/>
  <c r="T4" i="16"/>
  <c r="E101" i="16"/>
  <c r="F101" i="16"/>
  <c r="G101" i="16"/>
  <c r="H101" i="16"/>
  <c r="I101" i="16"/>
  <c r="J101" i="16"/>
  <c r="K101" i="16"/>
  <c r="L101" i="16"/>
  <c r="M101" i="16"/>
  <c r="N101" i="16"/>
  <c r="O101" i="16"/>
  <c r="P101" i="16"/>
  <c r="Q101" i="16"/>
  <c r="R101" i="16"/>
  <c r="S101" i="16"/>
  <c r="D101" i="16"/>
  <c r="V4" i="9"/>
  <c r="T101" i="16" l="1"/>
  <c r="U24" i="9"/>
  <c r="V5" i="9"/>
  <c r="V6" i="9"/>
  <c r="V7" i="9"/>
  <c r="V8" i="9"/>
  <c r="V9" i="9"/>
  <c r="V10" i="9"/>
  <c r="V11" i="9"/>
  <c r="V12" i="9"/>
  <c r="V13" i="9"/>
  <c r="V14" i="9"/>
  <c r="V15" i="9"/>
  <c r="V16" i="9"/>
  <c r="V17" i="9"/>
  <c r="V18" i="9"/>
  <c r="V19" i="9"/>
  <c r="V20" i="9"/>
  <c r="V21" i="9"/>
  <c r="V22" i="9"/>
  <c r="V23" i="9"/>
  <c r="W24" i="9" l="1"/>
  <c r="V24" i="9" s="1"/>
</calcChain>
</file>

<file path=xl/sharedStrings.xml><?xml version="1.0" encoding="utf-8"?>
<sst xmlns="http://schemas.openxmlformats.org/spreadsheetml/2006/main" count="1176" uniqueCount="397">
  <si>
    <t xml:space="preserve"> DIGILIGIPÄÄSETAVUSE PÕHJALIK AUDIT</t>
  </si>
  <si>
    <t xml:space="preserve">Üldinfo hindamisvormist
</t>
  </si>
  <si>
    <t xml:space="preserve">Hindamisvormi tulpade selgitused ja hindamisvormiga testimine
</t>
  </si>
  <si>
    <t>Hindaja/hindajad:</t>
  </si>
  <si>
    <t>Hindamise kuupäev/kuupäevad:</t>
  </si>
  <si>
    <t xml:space="preserve">Hindamiseks kasutatud tööriistade info (nimi, versioon jne).
</t>
  </si>
  <si>
    <t xml:space="preserve">Tähistus standardis </t>
  </si>
  <si>
    <t>Nõude nimi</t>
  </si>
  <si>
    <t>Selles tulbas on testitava nõude ingliskeelne nimi (inglise keeles on need seetõttu, et hetkel puudub standardi ametlik tõlge eesti keelde).</t>
  </si>
  <si>
    <t>Testimisjuhend</t>
  </si>
  <si>
    <t>Lingid tiitellehel viidatud allikatele</t>
  </si>
  <si>
    <t xml:space="preserve"> Euroopa Liidu digiligipääsetavuse standard EN 301 549 V3.2.1 (2021-03)</t>
  </si>
  <si>
    <t>Lühiselgitused</t>
  </si>
  <si>
    <t xml:space="preserve">*** Mittevastavate nõuete puhul tuleb lisada lühikirjeldus puudujäägist, mille tõttu testi hindamistulemus on mittevastav. Kindlasti on mõistlik ülesse märkida ka muud vajalikud tähelepanekud (nt. kui mõnda rakendamise eeltingimust, testi tulemust vms saab tõlgendada ühte- või teistmoodi, on oluline teada põhjust, miks selline tõlgendus valiti).
*** Kuna mittevastavuse fikseerimiseks piisab ainult ühest puudujäägist, ei pruugi olla lühiselgitustesse märgitud kõiki nõuetele mittevastavaid juhtumeid. </t>
  </si>
  <si>
    <t>WCAG 2.1 Understanding Docs</t>
  </si>
  <si>
    <t>Nõuded, millel esineb vähemalt üks mittevastavus</t>
  </si>
  <si>
    <t>KUVATÕMMISTE TABEL</t>
  </si>
  <si>
    <t>URL (selle puudumisel tuleb siia tulpa kirjutada "kuvatõmmis" ja lisada kuvatõmmis vastavasse tabelisse)</t>
  </si>
  <si>
    <t>MV</t>
  </si>
  <si>
    <t>MV%</t>
  </si>
  <si>
    <t>KOKKU</t>
  </si>
  <si>
    <t>Nimetus</t>
  </si>
  <si>
    <t>Kuvatõmmis</t>
  </si>
  <si>
    <t>DOMEENI TULEMUSED:</t>
  </si>
  <si>
    <t>Alamlehe nimetus:</t>
  </si>
  <si>
    <t>Tähistus standardis</t>
  </si>
  <si>
    <t xml:space="preserve">Testimisjuhend
</t>
  </si>
  <si>
    <t>Hindamistulemused (V/MV/K)</t>
  </si>
  <si>
    <t xml:space="preserve">Alamlehtede-ülesed testid testimise algul. Nendele nõuetele vastavuse kindlaks tegemiseks tuleb vaadata, kas mitut alamlehte korraga või ainult üht alamlehtede-ülest funktsiooni. </t>
  </si>
  <si>
    <t>Consistent Navigation</t>
  </si>
  <si>
    <t xml:space="preserve">Kontrolli, kas kõikidel alamlehtedel olevad navigatsioonielemendid (nt. alamlehtede-ülene veebidomeeni menüü) on läbivalt samasugused.
</t>
  </si>
  <si>
    <t>Consistent Identification</t>
  </si>
  <si>
    <t>Kontrolli visuaalselt, kas sama funktsiooniga nupud, ikoonid, lingid jne (nt. "laadi alla", "liigu edasi" jne) on kõikidel alamlehtedel läbivalt ühtsed.</t>
  </si>
  <si>
    <t>12.1.1</t>
  </si>
  <si>
    <t>Accessibility and compatibility features</t>
  </si>
  <si>
    <t xml:space="preserve">Juhul, kui on avaldatud domeeni tehniline info (näiteks abi alamleht, digiligipääsetavuse funktsioonide kasutusjuhis vms) ning domeenil on sisse ehitatud digiligipääsetavuse funktsioonid (näiteks domeeni omaenda stiilivahetaja), siis tehnilises infos peab olema ülevaade sellest, kuidas neid funktsioone kasutada.
Vaata üle, millised on domeeni omaenda digiligipääsetavuse funktsioonid ja kontrolli, kas avalikus domeeni tehnilises infos on ülevaade, kuidas digiligipääsetavuse funktsioone kasutada.
Kuna see nõue on alamlehtede-ülene (nõue räägib domeeni digiligipääsetavuse funktsioonidest), siis selle nõude testi tulemus tuleb märkida kõikidele alamlehtedele.
</t>
  </si>
  <si>
    <t>11.7</t>
  </si>
  <si>
    <t>User preferences</t>
  </si>
  <si>
    <t>5.2</t>
  </si>
  <si>
    <t>Activation of accessibility features</t>
  </si>
  <si>
    <t>Non-text content</t>
  </si>
  <si>
    <r>
      <t>Juhul kui lehel on robotilõks (</t>
    </r>
    <r>
      <rPr>
        <i/>
        <sz val="11"/>
        <rFont val="Arial"/>
        <family val="2"/>
        <charset val="186"/>
        <scheme val="minor"/>
      </rPr>
      <t>captcha</t>
    </r>
    <r>
      <rPr>
        <sz val="11"/>
        <rFont val="Arial"/>
        <family val="2"/>
        <charset val="186"/>
        <scheme val="minor"/>
      </rPr>
      <t xml:space="preserve">), siis vaata visuaalselt, kas sellele on mõni alternatiiv (nt. tekstiline või heliline).
</t>
    </r>
  </si>
  <si>
    <t>Sensory characteristics</t>
  </si>
  <si>
    <t>Audio control</t>
  </si>
  <si>
    <t>Timing adjustable</t>
  </si>
  <si>
    <t>Pause, stop, hide</t>
  </si>
  <si>
    <t>Three flashes or below threshold</t>
  </si>
  <si>
    <t xml:space="preserve">Kontrolli, et lehel ei ole sisu, mis sähviks rohkem kui 3 korda sekundis. Erandiks on piisavalt väike sisu, mille sähvatused on madala kontrastsusega ja ei sisalda liialt palju punast värvi.
</t>
  </si>
  <si>
    <t>Page titled</t>
  </si>
  <si>
    <t>Multiple Ways</t>
  </si>
  <si>
    <r>
      <t>Kontrolli, kas kasutajal on võimalik määratleda alamlehe asukohta mitmel viisil. 
Näiteks on nõue vastav juhul kui alamlehel olles leiab selle nii alamlehel olevast domeeni menüüst kui ka alamlehel olevast domeeni otsingust. Või on nõue vastav juhul kui alamlehel on link nii domeeni sisupuule (</t>
    </r>
    <r>
      <rPr>
        <i/>
        <sz val="11"/>
        <rFont val="Arial"/>
        <family val="2"/>
        <charset val="186"/>
        <scheme val="minor"/>
      </rPr>
      <t>sitemap</t>
    </r>
    <r>
      <rPr>
        <sz val="11"/>
        <rFont val="Arial"/>
        <family val="2"/>
        <charset val="186"/>
        <scheme val="minor"/>
      </rPr>
      <t xml:space="preserve">) kui ka domeeni otsingu lehele.  
Nõue ei kohaldu alamlehtedele, mis on protsesside sammud või tulemused (näiteks alamlehed mitme-sammulisest taotluse esitamise, e-poes ostimise jne kasutajateekonnast). 
</t>
    </r>
  </si>
  <si>
    <t>Headings and Labels</t>
  </si>
  <si>
    <t>Pointer Gestures</t>
  </si>
  <si>
    <r>
      <t>Kontrolli, kas tegevusi, mille jaoks peab hiirt liigutama konkreetset trajektoori pidi (lohistamine (</t>
    </r>
    <r>
      <rPr>
        <i/>
        <sz val="11"/>
        <rFont val="Arial"/>
        <family val="2"/>
        <charset val="186"/>
        <scheme val="minor"/>
      </rPr>
      <t>drag</t>
    </r>
    <r>
      <rPr>
        <sz val="11"/>
        <rFont val="Arial"/>
        <family val="2"/>
        <charset val="186"/>
        <scheme val="minor"/>
      </rPr>
      <t>), libistamine (</t>
    </r>
    <r>
      <rPr>
        <i/>
        <sz val="11"/>
        <rFont val="Arial"/>
        <family val="2"/>
        <charset val="186"/>
        <scheme val="minor"/>
      </rPr>
      <t>slide</t>
    </r>
    <r>
      <rPr>
        <sz val="11"/>
        <rFont val="Arial"/>
        <family val="2"/>
        <charset val="186"/>
        <scheme val="minor"/>
      </rPr>
      <t xml:space="preserve">) jne), saab teha ka tavalise hiireklõpsuga.
</t>
    </r>
  </si>
  <si>
    <t>Pointer cancellation</t>
  </si>
  <si>
    <r>
      <t>Kontrolli, kas on võimalik ühe puutega päästiksündmust nagu hiire allavajutus (</t>
    </r>
    <r>
      <rPr>
        <i/>
        <sz val="11"/>
        <rFont val="Arial"/>
        <family val="2"/>
        <charset val="186"/>
        <scheme val="minor"/>
      </rPr>
      <t>onmousedown</t>
    </r>
    <r>
      <rPr>
        <sz val="11"/>
        <rFont val="Arial"/>
        <family val="2"/>
        <charset val="186"/>
        <scheme val="minor"/>
      </rPr>
      <t xml:space="preserve">) tagasi võtta. Nt. kui hiirega nupu peale vajutada, kuid lahti laskmata nupu pealt kursoriga ära liikuda, siis ei tohi seda lugeda nupu aktiveerimiseks.
</t>
    </r>
  </si>
  <si>
    <t>Motion actuation</t>
  </si>
  <si>
    <t xml:space="preserve">Kui mõni tegevus testitaval alamlehel eeldab seadme liigutamist (nt. raputamine) või kasutaja liigutamist (nt. lehvitamine kaamerasse), siis kontrolli, kas seda tegevust saab teha ka muud moodi (nt. vajutades nupule).  
</t>
  </si>
  <si>
    <t>Use of Colour</t>
  </si>
  <si>
    <t>Error Identification</t>
  </si>
  <si>
    <t>Error Suggestion</t>
  </si>
  <si>
    <t>Labels or Instructions</t>
  </si>
  <si>
    <t>Error prevention (legal, financial, data)</t>
  </si>
  <si>
    <t>Contrast (Minimum)</t>
  </si>
  <si>
    <t>Non-text contrast</t>
  </si>
  <si>
    <t>Text spacing</t>
  </si>
  <si>
    <t>Resize text</t>
  </si>
  <si>
    <t xml:space="preserve">Seadista veebilehitseja suurendus 200% peale ja kontrolli visuaalselt, kas sisu on loetav ja funktsionaalne. 
</t>
  </si>
  <si>
    <t>Meaningful sequence</t>
  </si>
  <si>
    <r>
      <t xml:space="preserve">Juhul kui sisu esitamise järjekord mõjutab selle tähendust, peab olema sisu õige lugemisjärg tarkvaraliselt määratletav. 
Sellele nõudele vastavuse testimiseks ava laiendus "Web Developer" ja siis selle vahekaart </t>
    </r>
    <r>
      <rPr>
        <i/>
        <sz val="11"/>
        <rFont val="Arial"/>
        <family val="2"/>
        <charset val="186"/>
        <scheme val="minor"/>
      </rPr>
      <t>CSS</t>
    </r>
    <r>
      <rPr>
        <sz val="11"/>
        <rFont val="Arial"/>
        <family val="2"/>
        <charset val="186"/>
        <scheme val="minor"/>
      </rPr>
      <t xml:space="preserve">. Järgmisena valik "Disable All CSS". Seejärel ava sama alamleht teises veebilehitsejas, pane mõlemad veebilehitsejad kõrvuti ja kontrolli, kas sisu järjestus on üldjoontes sama (kui on üldjoontes sama, siis on testi tulemus nõudele vastav).  
</t>
    </r>
  </si>
  <si>
    <t>Reflow</t>
  </si>
  <si>
    <r>
      <t>Ava laiendus "Web Developer" ja siis selle ülemiselt ribalt vahekaart "Resize". Järgmisena valik "Resize Windows" ning märgi laiuseks (</t>
    </r>
    <r>
      <rPr>
        <i/>
        <sz val="11"/>
        <rFont val="Arial"/>
        <family val="2"/>
        <charset val="186"/>
        <scheme val="minor"/>
      </rPr>
      <t>Width</t>
    </r>
    <r>
      <rPr>
        <sz val="11"/>
        <rFont val="Arial"/>
        <family val="2"/>
        <charset val="186"/>
        <scheme val="minor"/>
      </rPr>
      <t>) 1280. Seejärel vii suurendus (</t>
    </r>
    <r>
      <rPr>
        <i/>
        <sz val="11"/>
        <rFont val="Arial"/>
        <family val="2"/>
        <charset val="186"/>
        <scheme val="minor"/>
      </rPr>
      <t>zoom</t>
    </r>
    <r>
      <rPr>
        <sz val="11"/>
        <rFont val="Arial"/>
        <family val="2"/>
        <charset val="186"/>
        <scheme val="minor"/>
      </rPr>
      <t>) 400%'ndini (laius vastab 320'le CSS pikslile). Seejärel vähenda suurendust samm-sammult 100%'ndini. Veebileht peab olema kohanduv, st sisu peab olema kasutatav ning ei tohi tekkida teist ehk horisontaalset kerimisriba.
Enamasti on veebilehed mõeldud vertikaalseks kasutamiseks, aga juhul kui veebileht on mõeldud horisontaalseks kasutamiseks, siis tuleb märkida kõrguseks (</t>
    </r>
    <r>
      <rPr>
        <i/>
        <sz val="11"/>
        <rFont val="Arial"/>
        <family val="2"/>
        <charset val="186"/>
        <scheme val="minor"/>
      </rPr>
      <t>height</t>
    </r>
    <r>
      <rPr>
        <sz val="11"/>
        <rFont val="Arial"/>
        <family val="2"/>
        <charset val="186"/>
        <scheme val="minor"/>
      </rPr>
      <t>) 1024. Seejärel vii suurendus (</t>
    </r>
    <r>
      <rPr>
        <i/>
        <sz val="11"/>
        <rFont val="Arial"/>
        <family val="2"/>
        <charset val="186"/>
        <scheme val="minor"/>
      </rPr>
      <t>zoom</t>
    </r>
    <r>
      <rPr>
        <sz val="11"/>
        <rFont val="Arial"/>
        <family val="2"/>
        <charset val="186"/>
        <scheme val="minor"/>
      </rPr>
      <t xml:space="preserve">) 400%'ndini (kõrgus vastab 256'le CSS pikslile). Seejärel vähenda suurendust samm-sammult 100%'ndini. Veebileht peab olema kohanduv, st sisu peab olema kasutatav ning ei tohi tekkida teist ehk vertikaalset kerimisriba.
Kriteeriumi erandiks on pildid, kaardid, diagrammid, videod, mängud, presentatsioonid, tabelid ja kasutajaliidesed, kus peavad kerimisribad nähtaval olema.
</t>
    </r>
  </si>
  <si>
    <t>Images of text</t>
  </si>
  <si>
    <r>
      <t xml:space="preserve">Nõue ütleb, et juhul kui märgendkeel võimaldab teksti samalaadset visuaalset esitust nagu teksti esitlemine pildivormingus, siis tuleb tekst esitada pildivorminguta. 
Teksti esitlemine pildivormingus on lubatud, kui kasutaja saab ise visuaali kohandada, ning juhul, kui pildivorming on vältimatu (näiteks logod, millele on kirjutatud tekst). Selliste erandite korral peab pildil olema alt-tekst, mis annab edasi sama informatsiooni nagu visuaal ise.
Nõude kontrollimiseks ava laiendus "Web Developer" ja siis selle vahekaart </t>
    </r>
    <r>
      <rPr>
        <i/>
        <sz val="11"/>
        <rFont val="Arial"/>
        <family val="2"/>
        <charset val="186"/>
        <scheme val="minor"/>
      </rPr>
      <t>Images</t>
    </r>
    <r>
      <rPr>
        <sz val="11"/>
        <rFont val="Arial"/>
        <family val="2"/>
        <charset val="186"/>
        <scheme val="minor"/>
      </rPr>
      <t xml:space="preserve">. Vali  "Display Alt Attributes" ja "Outline All Images" (kui on raske aru saada, kas tegemist on pildiga, siis võib ka valida "Make Images Invisible").
</t>
    </r>
  </si>
  <si>
    <t>Orientation</t>
  </si>
  <si>
    <t xml:space="preserve">Kontrolli lähtekoodist, kas veebilehte on võimalik kasutada nii püstises kui ka külje peal olevas asendis. 
Selleks vajuta Google Chrome's hiire parem klikki (avaneb "Context menu") ning vali "Inspect". Seejärel avaneb DevTools paan. Paani kõige ülemisel real on vasakult poolt minnes "Select an element in the page to inspect it" ikoon ning seejärel "Toggle device toolbar" ikoon (mobiil ja tahvel). Tee kindlaks, et avanenud vaates on "Dimensions" valikuks "Responsive", ning seejärel testi vastavust nõudele, klikkides valikule "Rotate" (vaate ülemise rea parempoolne ikoon, mis kujutab pööratavat nutiseadet) ja sirvides alamlehte.  
Nõude eesmärk on tagada, et veebilehte saab kasutada nii püstises kui ka külje peal olevas asendis vastavalt kasutaja eelistustele ning käesolev test ei kontrolli, kas veebilehe sisu või funktsionaalsus jääb ligipääsetavaks ka pärast asendi muutmist.
</t>
  </si>
  <si>
    <t>Identify Input Purpose</t>
  </si>
  <si>
    <t xml:space="preserve">Kontrolli lähtekoodist (hiire parem klikk ehk "Context menu"&gt;valik "Inspect"&gt;valik "Select an element in the page to inspect it"&gt;kliki uuritavale elemendile või koodireale), kas kõikidel kasutaja kohta infot koguvatel vormiväljadel (näiteks meiliaadressi sisestusväli või nime sisestusväli, kuid mitte näiteks otsingukast) on korrektne aktiveeritud autocomplete atribuut (korrektsed on täpse väärtusega aktiveeritud atribuudid, näiteks autocomplete="email", autocomplete="name", autocomplete="tel" jne).
</t>
  </si>
  <si>
    <t>Language of page</t>
  </si>
  <si>
    <t>Language of parts</t>
  </si>
  <si>
    <t>Audio- ja videosisu testid. Nendele nõuetele vastavust saab testida vaid juhul, kui alamlehel on audio- või videosisu.</t>
  </si>
  <si>
    <t>Audio-only and video-only (pre-recorded)</t>
  </si>
  <si>
    <t>Captions (pre-recorded)</t>
  </si>
  <si>
    <t>Audio description (pre-recorded)</t>
  </si>
  <si>
    <r>
      <t>Kontrolli, kas eellindistatud videole on lisatud selle sisu sünkroonselt edasi andev helikirjeldus (</t>
    </r>
    <r>
      <rPr>
        <i/>
        <sz val="11"/>
        <rFont val="Arial"/>
        <family val="2"/>
        <charset val="186"/>
        <scheme val="minor"/>
      </rPr>
      <t>audio description</t>
    </r>
    <r>
      <rPr>
        <sz val="11"/>
        <rFont val="Arial"/>
        <family val="2"/>
        <charset val="186"/>
        <scheme val="minor"/>
      </rPr>
      <t xml:space="preserve">; helikirjeldus on pealeloetav kirjeldus, kus dialoogide vahel kirjeldatakse ka ekraanil nähtavat).
</t>
    </r>
  </si>
  <si>
    <t xml:space="preserve">Audio description or media alternative (pre-recorded)
</t>
  </si>
  <si>
    <t>7.3</t>
  </si>
  <si>
    <t>User controls for captions and audio description</t>
  </si>
  <si>
    <t xml:space="preserve">Juhul kui alamlehe peamine eesmärk on esitleda audio- ja videosisu, siis kontrolli, kas vaegkuuljate subtiitrite ja helikirjelduse aktiveerimiseks või sulgemiseks ei pea tegema rohkem klikke kui video mängima või pausile panekuks.
</t>
  </si>
  <si>
    <t xml:space="preserve">Testid klaviatuuriga. Nendele nõuetele vastavuse kindlaks tegemiseks tuleb kasutada klaviatuuri.
</t>
  </si>
  <si>
    <t>Character Key shortcuts</t>
  </si>
  <si>
    <t>Keyboard</t>
  </si>
  <si>
    <r>
      <t>Nõue ütleb, et kõik lehe funktsioonid peavad olema kasutatavad üksnes klaviatuuriga, sealhulgas ei tohi klahvile vajutamine olla seotud konkreetsete ajaliste limiitidega (näiteks klahvi all hoidmine pikema aja vältel). Nõue ei kohaldu olukordadele, kus klaviatuuri pole võimalik kasutada (näiteks hiirega joone tõmbamine). 
Nõude kontrolliks kasuta veebilehte klaviatuuriga: liigu Tab-nupuga veebilehel ringi (Shift+Tab saab tagasi liikuda); aktiveeri Enter-nupuga linke ja nuppe; märgi Space-nupuga märkeruute; navigeeri nooltega menüüdes; muuda nooltega raadionuppude (</t>
    </r>
    <r>
      <rPr>
        <i/>
        <sz val="11"/>
        <rFont val="Arial"/>
        <family val="2"/>
        <charset val="186"/>
        <scheme val="minor"/>
      </rPr>
      <t>radio buttons</t>
    </r>
    <r>
      <rPr>
        <sz val="11"/>
        <rFont val="Arial"/>
        <family val="2"/>
        <charset val="186"/>
        <scheme val="minor"/>
      </rPr>
      <t xml:space="preserve">) olekuid; sulge Esc-nupuga modaale.
</t>
    </r>
  </si>
  <si>
    <t>No keyboard trap</t>
  </si>
  <si>
    <t xml:space="preserve">Samaaegselt nõude 9.2.1.1 testimisega kontrolli, et ei oleks nn klaviatuurilõksusid, kus klaviatuuri fookus jääks kinni kindla elemendi külge, kust ei saa edasi ega tagasi navigeerida.
</t>
  </si>
  <si>
    <t>Focus Order</t>
  </si>
  <si>
    <t xml:space="preserve">Samaaegselt nõude 9.2.1.1 testimisega kontrolli, kas kasutajaliideste elementide fokusseerimise järjekord on loogiline ja intuitiivne.
</t>
  </si>
  <si>
    <t>Focus Visible</t>
  </si>
  <si>
    <t xml:space="preserve">Samaaegselt nõude 9.2.1.1 testimisega kontrolli, kas igal aktiveeritaval kasutajaliidese elemendil - nagu näiteks nupp või link - on fookusstiil, mis seda eristab teistest elementidest antud elemendi fookusesse võtmisel.
</t>
  </si>
  <si>
    <t>On Focus</t>
  </si>
  <si>
    <t>On Input</t>
  </si>
  <si>
    <t xml:space="preserve">Samaaegselt nõude 9.2.1.1 testimisega kontrolli, et vormi sisestamisel või kasutajaliidese elemendi muutmisel (nt. märkeruudu märkimine, raadionupu oleku muutmine) ei toimu olulist ja ootamatut muutust. Näiteks nõue on mittevastav siis, kui teha märkeruutu märge ning vahetult peale seda avaneb ootamatult uus veebileht eraldi aknas.
</t>
  </si>
  <si>
    <t>Content on hover or focus</t>
  </si>
  <si>
    <t xml:space="preserve">Testid ekraanilugejaga.
</t>
  </si>
  <si>
    <t xml:space="preserve">Kontrolli ekraanilugejaga, kas see loeb kõigi informatiivsete piltide juures ette kirjelduse, mis annab edasi sama informatsiooni nagu pilt ise (st. piltidele on korrektselt kirjutatud alt-atribuut / aria-label). Dekoratiivsete piltide (st. selliste, mis ei anna lisainformatsiooni) ei tohi ekraanilugeja midagi ette lugeda.
</t>
  </si>
  <si>
    <t>Info and relationships</t>
  </si>
  <si>
    <t>Bypass blocks</t>
  </si>
  <si>
    <t xml:space="preserve">Kontrolli, kas ülehüppamislink tuleb välja ja töötab.
Ülehüppamislink on üks esimesi linke päises, mille eesmärk on viia sellele kikkides fookus otse põhisisuni (st. toimub nii-öelda hüpe üle infost, mis asub alamlehe päises ja on sama kõikidel alamlehtedel). Üldjuhul on ülehüppamislink peidetud, aga tab-nupuga liikudes muutub see nähtavaks. Ühtlasi on selle nimetus tavaliselt "Liigu edasi põhisisu juurde" vms.
</t>
  </si>
  <si>
    <t>Link purpose (in context)</t>
  </si>
  <si>
    <t xml:space="preserve">Kontrolli ekraanilugejaga, et linkide otstarve on arusaadav ainuüksi lingi tekstist või koos seda ümbritseva ekraanilugeja poolt etteloetava kontekstiga.
</t>
  </si>
  <si>
    <t>Label in Name</t>
  </si>
  <si>
    <t xml:space="preserve">Liigu ekraanilugejaga läbi lehe ning kontrolli, et linkide, nuppude ja sisendite nähtav silt kattub nimega, mille loeb ette ekraanilugeja, või kattub nime algusega, mille loeb ette ekraanilugeja.
</t>
  </si>
  <si>
    <t>Name, Role, Value</t>
  </si>
  <si>
    <t xml:space="preserve">Kontrolli, kas ekraanilugeja teatab iga kasutajaliidese elemendi (nt. link, vormiväli, nupp, ikoon, kalender kuupäeva valimiseks jne) nimetuse ja eesmärgi ning teatab ka sellest, kui selle väärtus muutub (nt. element on fookuses, valitud, märgitud jne: vajadusel tuleb ise lahtrisse teha linnuke vms). Nõude eesmärk on tagada, et kasutajaliidese elemendid on tugitehnoloogiatega sama kasutatatavad nagu need on ilma tugitehnoloogiateta.  
</t>
  </si>
  <si>
    <t>Status Messages</t>
  </si>
  <si>
    <t xml:space="preserve">Kontrolli ekraanilugejaga, kas olekumuudatused (nagu veateated või “Otsin...“, “Leiti 12 vastet”, “Vasteid ei leitud”) loetakse ette ilma, et kasutaja selle ekraanilugejaga fookusesse võtab.
</t>
  </si>
  <si>
    <t>12.2.3</t>
  </si>
  <si>
    <t>Effective communication</t>
  </si>
  <si>
    <t>Biomeetrilise identifitseerimise test. Sellele nõudele saab vastavust testida vaid juhul, kui alamlehel on vastavad funktsioonid (tegemist on vähetõenäolise olukorraga).</t>
  </si>
  <si>
    <t>5.3</t>
  </si>
  <si>
    <t>Biometrics</t>
  </si>
  <si>
    <t>Juhul kui kasutaja autentimiseks või alamlehe kontrollimiseks kasutatakse biomeetrilist identifikaatorit (sõrmejälg, näotuvastus jne), siis kontrolli, kas nendele on mitu erinevat biomeetrilist või mittebiomeetrilist alternatiivi.</t>
  </si>
  <si>
    <t>Kahepoolse häälsuhtluse võimalusega veebilehe testid. Nendele nõuetele vastavust saab testida vaid juhul, kui alamlehel on selle sisse ehitatud kahepoolse häälsuhtluse ning reaalajas testi võimalused (tegemist on vähetõenäoliste olukordadega).</t>
  </si>
  <si>
    <t>6.1</t>
  </si>
  <si>
    <t>Audio bandwidth for speech</t>
  </si>
  <si>
    <t>Juhul kui testitavasse veebi on sisse ehitatud kahepoolse häälsuhtluse võimalus, siis kontrolli, kas sagedusvahemiku ülemine piir on vähemalt 7000 Hz.</t>
  </si>
  <si>
    <t>6.2.1.1</t>
  </si>
  <si>
    <t>RTT communication</t>
  </si>
  <si>
    <r>
      <t>Kahepoolse häälsuhtlusega peab kaasnema ka RTT (</t>
    </r>
    <r>
      <rPr>
        <i/>
        <sz val="11"/>
        <rFont val="Arial"/>
        <family val="2"/>
        <charset val="186"/>
        <scheme val="minor"/>
      </rPr>
      <t>Real-Time Text</t>
    </r>
    <r>
      <rPr>
        <sz val="11"/>
        <rFont val="Arial"/>
        <family val="2"/>
        <charset val="186"/>
        <scheme val="minor"/>
      </rPr>
      <t>; sõnumite saatmine ilma "saada" nuppu vajutamata) võimalus. 
Juhul kui
testitavasse veebi on sisse ehitatud kahepoolse häälsuhtluse võimalus, 
võimalik on testida veebi RTT toimivust (st. testija näeb teisest seadmest saadetud sõnumit) ning  
testimises on võimalik kasutada RTT testseadet (</t>
    </r>
    <r>
      <rPr>
        <i/>
        <sz val="11"/>
        <rFont val="Arial"/>
        <family val="2"/>
        <charset val="186"/>
        <scheme val="minor"/>
      </rPr>
      <t>RTT reference terminal</t>
    </r>
    <r>
      <rPr>
        <sz val="11"/>
        <rFont val="Arial"/>
        <family val="2"/>
        <charset val="186"/>
        <scheme val="minor"/>
      </rPr>
      <t xml:space="preserve">),
siis kontrolli, kas suhtlus üle RTT toimib.
</t>
    </r>
  </si>
  <si>
    <t>6.2.1.2</t>
  </si>
  <si>
    <t>Concurrent voice and text</t>
  </si>
  <si>
    <t xml:space="preserve">Juhul kui testitavasse veebi on sisse ehitatud kahepoolse häälsuhtluse ning RTT võimalused, siis kontrolli, kas need toimivad samaaegselt. </t>
  </si>
  <si>
    <t>6.2.2.1</t>
  </si>
  <si>
    <t>Visually distinguishable display</t>
  </si>
  <si>
    <t xml:space="preserve">Juhul kui 
testitavasse veebi on sisse ehitatud RTT võimalus,
testimises on võimalik kasutada RTT testseadet ning
testi saab läbi viia nii "saatja" kui "vastuvõtja" poolelt, 
siis tuleb saata mõlemalt poolelt sõnumid ja kontrollida, kas need on visuaalselt eristatavad (nt. erinevate osapoolte sõnumid erinevad värvi ja kirjatüüpi poolest). </t>
  </si>
  <si>
    <t>6.2.2.2</t>
  </si>
  <si>
    <t>Programmatically determinable send and receive direction</t>
  </si>
  <si>
    <t>Juhul kui 
testitavasse veebi on sisse ehitatud RTT võimalus,
testimises on võimalik kasutada RTT testseadet ning
testi saab läbi viia nii "saatja" kui "vastuvõtja" poolelt, 
siis tuleb saata mõlemalt poolelt sõnumid ja kontrollida, kas "saatja" ja "vastuvõtja" sõnumid on tarkvaraliselt eristatavad (nt. eristatavad ekraanilugeja abil).</t>
  </si>
  <si>
    <t>6.2.2.3</t>
  </si>
  <si>
    <t>Speaker identification</t>
  </si>
  <si>
    <t xml:space="preserve">Juhul kui
testitavasse veebi on sisse ehitatud RTT võimalus, 
testitav veeb tuvastab kõneleja tema hääle järgi ning 
testimises on võimalik kasutada RTT testseadet, 
siis saada testseadmest sõnum veebi ning kontrolli, kas veeb näitab, kes teksti kirjutab. 
</t>
  </si>
  <si>
    <t>6.2.2.4</t>
  </si>
  <si>
    <t>Visual indicator of Audio with RTT</t>
  </si>
  <si>
    <t xml:space="preserve">Juhul kui testitavasse veebi on sisse ehitatud kahepoolse häälsuhtluse ning RTT võimalused, siis tuleb seda testida sellega ühilduva kahepoolse häälsuhtluse funktsionaalsusega IKT-seadme (ehk "saatja" poole) abil. 
"Saatja" poolde tuleb rääkida ning seejärel kontrollida, kas testitav veeb (ehk "vastuvõtja" pool) kuvab visuaalselt heli muutumist reaalajas (selline indikaator näitab kuulmispuudega inimesele, et keegi kõneleb).
</t>
  </si>
  <si>
    <t>6.2.3</t>
  </si>
  <si>
    <t>Interoperability item a)</t>
  </si>
  <si>
    <r>
      <t xml:space="preserve">Juhul kui 
testitavasse veebi on sisse ehitatud kahepoolse häälsuhtluse ja RTT võimalused, 
kahepoolne häälsuhtlus toimib üle </t>
    </r>
    <r>
      <rPr>
        <i/>
        <sz val="11"/>
        <rFont val="Arial"/>
        <family val="2"/>
        <charset val="186"/>
        <scheme val="minor"/>
      </rPr>
      <t xml:space="preserve">Public Switched Telephone Network (PSTN) </t>
    </r>
    <r>
      <rPr>
        <sz val="11"/>
        <rFont val="Arial"/>
        <family val="2"/>
        <charset val="186"/>
        <scheme val="minor"/>
      </rPr>
      <t>sidevõimaluse ning 
testimises on võimalik kasutada V.18 testseadet (</t>
    </r>
    <r>
      <rPr>
        <i/>
        <sz val="11"/>
        <rFont val="Arial"/>
        <family val="2"/>
        <charset val="186"/>
        <scheme val="minor"/>
      </rPr>
      <t>V.18 reference terminal</t>
    </r>
    <r>
      <rPr>
        <sz val="11"/>
        <rFont val="Arial"/>
        <family val="2"/>
        <charset val="186"/>
        <scheme val="minor"/>
      </rPr>
      <t>), 
siis kontrolli, kas veeb on testseadmega koostalitusvõimeline (</t>
    </r>
    <r>
      <rPr>
        <i/>
        <sz val="11"/>
        <rFont val="Arial"/>
        <family val="2"/>
        <charset val="186"/>
        <scheme val="minor"/>
      </rPr>
      <t>interoperable</t>
    </r>
    <r>
      <rPr>
        <sz val="11"/>
        <rFont val="Arial"/>
        <family val="2"/>
        <charset val="186"/>
        <scheme val="minor"/>
      </rPr>
      <t xml:space="preserve">; st. võimeline vahetama ja kasutama infot).
</t>
    </r>
  </si>
  <si>
    <t>Interoperability item b)</t>
  </si>
  <si>
    <r>
      <t xml:space="preserve">Juhul kui 
testitavasse veebi on sisse ehitatud kahepoolse häälsuhtluse ja RTT võimalused, 
kahepoolne häälsuhtlus toimib üle </t>
    </r>
    <r>
      <rPr>
        <i/>
        <sz val="11"/>
        <rFont val="Arial"/>
        <family val="2"/>
        <charset val="186"/>
        <scheme val="minor"/>
      </rPr>
      <t>VOIP with Session Initiation Protocol (SIP)</t>
    </r>
    <r>
      <rPr>
        <sz val="11"/>
        <rFont val="Arial"/>
        <family val="2"/>
        <charset val="186"/>
        <scheme val="minor"/>
      </rPr>
      <t xml:space="preserve"> sidevõimaluse ning 
testimises on võimalik kasutada RFC 4103 protokollile vastavat  RTT testseadet, 
siis kontrolli, kas veeb on testseadmega koostalitusvõimeline (</t>
    </r>
    <r>
      <rPr>
        <i/>
        <sz val="11"/>
        <rFont val="Arial"/>
        <family val="2"/>
        <charset val="186"/>
        <scheme val="minor"/>
      </rPr>
      <t>interoperable</t>
    </r>
    <r>
      <rPr>
        <sz val="11"/>
        <rFont val="Arial"/>
        <family val="2"/>
        <charset val="186"/>
        <scheme val="minor"/>
      </rPr>
      <t xml:space="preserve">; st. võimeline vahetama ja kasutama infot).
</t>
    </r>
  </si>
  <si>
    <t>Interoperability item c)</t>
  </si>
  <si>
    <r>
      <t xml:space="preserve">Juhul kui 
testitavasse veebi on sisse ehitatud kahepoolse häälsuhtluse ja RTT võimalused, 
kahepoolne häälsuhtlus toimib üle mõne muu sidevõimaluse kui </t>
    </r>
    <r>
      <rPr>
        <i/>
        <sz val="11"/>
        <rFont val="Arial"/>
        <family val="2"/>
        <charset val="186"/>
        <scheme val="minor"/>
      </rPr>
      <t xml:space="preserve">PSTN </t>
    </r>
    <r>
      <rPr>
        <sz val="11"/>
        <rFont val="Arial"/>
        <family val="2"/>
        <charset val="186"/>
        <scheme val="minor"/>
      </rPr>
      <t xml:space="preserve">või </t>
    </r>
    <r>
      <rPr>
        <i/>
        <sz val="11"/>
        <rFont val="Arial"/>
        <family val="2"/>
        <charset val="186"/>
        <scheme val="minor"/>
      </rPr>
      <t>VOIP with Session Initiation Protocol (SIP)</t>
    </r>
    <r>
      <rPr>
        <sz val="11"/>
        <rFont val="Arial"/>
        <family val="2"/>
        <charset val="186"/>
        <scheme val="minor"/>
      </rPr>
      <t xml:space="preserve"> sidevõimalused ning 
testimises on võimalik kasutada antud sidevõimalusele vastavat  RTT testseadet, 
siis kontrolli:
*** kas veeb on testseadmega koostalitusvõimeline (</t>
    </r>
    <r>
      <rPr>
        <i/>
        <sz val="11"/>
        <rFont val="Arial"/>
        <family val="2"/>
        <charset val="186"/>
        <scheme val="minor"/>
      </rPr>
      <t>interoperable</t>
    </r>
    <r>
      <rPr>
        <sz val="11"/>
        <rFont val="Arial"/>
        <family val="2"/>
        <charset val="186"/>
        <scheme val="minor"/>
      </rPr>
      <t xml:space="preserve">; st. võimeline vahetama ja kasutama infot).
*** kas kasutatava sidevõimaluse spetsifikatsioon on avaldatud ning sisaldab meetodit tähistamaks olukorda, kus infovahetuse käigus tekkisid moonutatud ja kaduma läinud tähemärgid. 
</t>
    </r>
  </si>
  <si>
    <t>Interoperability item d)</t>
  </si>
  <si>
    <r>
      <t>Juhul kui 
testitavasse veebi on sisse ehitatud kahepoolse häälsuhtluse ja RTT võimalused ning 
testimises on võimalik kasutada uuele RTT standardile vastavat RTT testseadet, 
siis kontrolli:
*** kas veeb on testseadmega koostalitusvõimeline (</t>
    </r>
    <r>
      <rPr>
        <i/>
        <sz val="11"/>
        <rFont val="Arial"/>
        <family val="2"/>
        <charset val="186"/>
        <scheme val="minor"/>
      </rPr>
      <t>interoperable</t>
    </r>
    <r>
      <rPr>
        <sz val="11"/>
        <rFont val="Arial"/>
        <family val="2"/>
        <charset val="186"/>
        <scheme val="minor"/>
      </rPr>
      <t xml:space="preserve">; st. võimeline vahetama ja kasutama infot).
*** kas uue RTT standardi alusel saab kasutada kõiki senimaani veebis kasutatud sidevõimalusi.  
</t>
    </r>
  </si>
  <si>
    <t>6.2.4</t>
  </si>
  <si>
    <t>RTT responsiveness</t>
  </si>
  <si>
    <t>Juhul kui testitavasse veebi on sisse ehitatud RTT võimalus ja testi saab läbi viia nii "saatja" kui "vastuvõtja" poolelt, tuleb saata lühike sõnum ja kontrollida, kas "saatja" tekst jõuab "vastuvõtjani" maksimaalselt 500 millisekundi jooksul.</t>
  </si>
  <si>
    <t>6.3</t>
  </si>
  <si>
    <t>Caller ID</t>
  </si>
  <si>
    <t>Juhul kui testitav veeb kuvab helistaja identiteeti, siis kontrolli, kas seda esitletakse tekstiliselt ning see tekst on ka tarkvaraliselt kindlaks tehtav (näiteks kõnesüntesaator loeb selle ette).</t>
  </si>
  <si>
    <t>6.4</t>
  </si>
  <si>
    <t>Alternatives to voice-based services</t>
  </si>
  <si>
    <r>
      <t xml:space="preserve">Juhul kui testitavasse veebi on sisse ehitatud reaalajas häälsuhtluse ( </t>
    </r>
    <r>
      <rPr>
        <i/>
        <sz val="11"/>
        <rFont val="Arial"/>
        <family val="2"/>
        <charset val="186"/>
        <scheme val="minor"/>
      </rPr>
      <t>real-time voice-based communication</t>
    </r>
    <r>
      <rPr>
        <sz val="11"/>
        <rFont val="Arial"/>
        <family val="2"/>
        <charset val="186"/>
        <scheme val="minor"/>
      </rPr>
      <t xml:space="preserve"> ), kõneposti (</t>
    </r>
    <r>
      <rPr>
        <i/>
        <sz val="11"/>
        <rFont val="Arial"/>
        <family val="2"/>
        <charset val="186"/>
        <scheme val="minor"/>
      </rPr>
      <t>voice mail</t>
    </r>
    <r>
      <rPr>
        <sz val="11"/>
        <rFont val="Arial"/>
        <family val="2"/>
        <charset val="186"/>
        <scheme val="minor"/>
      </rPr>
      <t>), häälkonsultandi (</t>
    </r>
    <r>
      <rPr>
        <i/>
        <sz val="11"/>
        <rFont val="Arial"/>
        <family val="2"/>
        <charset val="186"/>
        <scheme val="minor"/>
      </rPr>
      <t>auto-attendant</t>
    </r>
    <r>
      <rPr>
        <sz val="11"/>
        <rFont val="Arial"/>
        <family val="2"/>
        <charset val="186"/>
        <scheme val="minor"/>
      </rPr>
      <t>) ja interaktiivse häälvastuse</t>
    </r>
    <r>
      <rPr>
        <i/>
        <sz val="11"/>
        <rFont val="Arial"/>
        <family val="2"/>
        <charset val="186"/>
        <scheme val="minor"/>
      </rPr>
      <t xml:space="preserve"> </t>
    </r>
    <r>
      <rPr>
        <sz val="11"/>
        <rFont val="Arial"/>
        <family val="2"/>
        <charset val="186"/>
        <scheme val="minor"/>
      </rPr>
      <t>(</t>
    </r>
    <r>
      <rPr>
        <i/>
        <sz val="11"/>
        <rFont val="Arial"/>
        <family val="2"/>
        <charset val="186"/>
        <scheme val="minor"/>
      </rPr>
      <t>interactive voice response</t>
    </r>
    <r>
      <rPr>
        <sz val="11"/>
        <rFont val="Arial"/>
        <family val="2"/>
        <charset val="186"/>
        <scheme val="minor"/>
      </rPr>
      <t xml:space="preserve">) võimalused, siis kontrolli:
*** kas veeb pakub kasutajale infole ligipääsuks meetodeid, mis ei vaja kuulmis- või kõnevõimet. 
*** kas veeb võimaldab täita kõiki süsteemi poolt kasutajale täitmiseks loodud ülesandeid ilma kuulmis- või kõnevõimeta. 
</t>
    </r>
  </si>
  <si>
    <t>6.5.2</t>
  </si>
  <si>
    <t>Resolution item a)</t>
  </si>
  <si>
    <r>
      <t>Juhul kui testitavasse veebi on sisse ehitatud kahepoolse häälsuhtluse ning RTV (</t>
    </r>
    <r>
      <rPr>
        <i/>
        <sz val="11"/>
        <rFont val="Arial"/>
        <family val="2"/>
        <charset val="186"/>
        <scheme val="minor"/>
      </rPr>
      <t>Real-Time Video</t>
    </r>
    <r>
      <rPr>
        <sz val="11"/>
        <rFont val="Arial"/>
        <family val="2"/>
        <charset val="186"/>
        <scheme val="minor"/>
      </rPr>
      <t xml:space="preserve">) võimalused, siis kontrolli, kas video resolutsioon on vähemalt QVGA ehk 320×240 pikslit. </t>
    </r>
  </si>
  <si>
    <t>6.5.3</t>
  </si>
  <si>
    <t>Frame rate item a)</t>
  </si>
  <si>
    <r>
      <t>Juhul kui testitavasse veebi on sisse ehitatud kahepoolse häälsuhtluse ning RTV (</t>
    </r>
    <r>
      <rPr>
        <i/>
        <sz val="11"/>
        <rFont val="Arial"/>
        <family val="2"/>
        <charset val="186"/>
        <scheme val="minor"/>
      </rPr>
      <t>Real-Time Video</t>
    </r>
    <r>
      <rPr>
        <sz val="11"/>
        <rFont val="Arial"/>
        <family val="2"/>
        <charset val="186"/>
        <scheme val="minor"/>
      </rPr>
      <t>) võimalused, siis kontrolli, kas video kaadrit sekundis määr (</t>
    </r>
    <r>
      <rPr>
        <i/>
        <sz val="11"/>
        <rFont val="Arial"/>
        <family val="2"/>
        <charset val="186"/>
        <scheme val="minor"/>
      </rPr>
      <t>frame rate</t>
    </r>
    <r>
      <rPr>
        <sz val="11"/>
        <rFont val="Arial"/>
        <family val="2"/>
        <charset val="186"/>
        <scheme val="minor"/>
      </rPr>
      <t>) on vähemalt 20 kaadrit sekundis (</t>
    </r>
    <r>
      <rPr>
        <i/>
        <sz val="11"/>
        <rFont val="Arial"/>
        <family val="2"/>
        <charset val="186"/>
        <scheme val="minor"/>
      </rPr>
      <t>frames per second</t>
    </r>
    <r>
      <rPr>
        <sz val="11"/>
        <rFont val="Arial"/>
        <family val="2"/>
        <charset val="186"/>
        <scheme val="minor"/>
      </rPr>
      <t>).</t>
    </r>
  </si>
  <si>
    <t>6.5.4</t>
  </si>
  <si>
    <t>Synchronization between audio and video</t>
  </si>
  <si>
    <r>
      <t>Juhul kui testitavasse veebi on sisse ehitatud kahepoolse häälsuhtluse ning RTV (</t>
    </r>
    <r>
      <rPr>
        <i/>
        <sz val="11"/>
        <rFont val="Arial"/>
        <family val="2"/>
        <charset val="186"/>
        <scheme val="minor"/>
      </rPr>
      <t>Real-Time Video</t>
    </r>
    <r>
      <rPr>
        <sz val="11"/>
        <rFont val="Arial"/>
        <family val="2"/>
        <charset val="186"/>
        <scheme val="minor"/>
      </rPr>
      <t xml:space="preserve">) võimalused, siis kontrolli, kas erinevus heli ja videopildi vahel on kuni 100 millisekundit.  
</t>
    </r>
  </si>
  <si>
    <t>6.5.5</t>
  </si>
  <si>
    <t>Visual indicator of audio with video</t>
  </si>
  <si>
    <r>
      <t>Juhul kui testitavasse veebi on sisse ehitatud kahepoolse häälsuhtluse ning RTV (</t>
    </r>
    <r>
      <rPr>
        <i/>
        <sz val="11"/>
        <rFont val="Arial"/>
        <family val="2"/>
        <charset val="186"/>
        <scheme val="minor"/>
      </rPr>
      <t>Real-Time Video</t>
    </r>
    <r>
      <rPr>
        <sz val="11"/>
        <rFont val="Arial"/>
        <family val="2"/>
        <charset val="186"/>
        <scheme val="minor"/>
      </rPr>
      <t>) võimalused, siis tuleb seda testida sellega ühilduva kahepoolse häälsuhtluse funktsionaalsusega IKT-seadme (ehk "saatja" poole) abil. "Saatja" poolde tuleb rääkida ning seejärel kontrollida, kas testitav veeb (ehk "vastuvõtja" pool) kuvab visuaalselt heli muutumist reaalajas (selline indikaator näitab kuulmispuudega inimesele, et keegi kõneleb).</t>
    </r>
  </si>
  <si>
    <t>6.5.6</t>
  </si>
  <si>
    <t>Speaker identification with video (sign language) communication</t>
  </si>
  <si>
    <r>
      <t>Juhul kui testitavasse veebi on sisse ehitatud kahepoolse häälsuhtluse ning RTV (</t>
    </r>
    <r>
      <rPr>
        <i/>
        <sz val="11"/>
        <rFont val="Arial"/>
        <family val="2"/>
        <charset val="186"/>
        <scheme val="minor"/>
      </rPr>
      <t>Real-Time Video</t>
    </r>
    <r>
      <rPr>
        <sz val="11"/>
        <rFont val="Arial"/>
        <family val="2"/>
        <charset val="186"/>
        <scheme val="minor"/>
      </rPr>
      <t xml:space="preserve">) võimalused, siis tuleb seda testida sellega ühilduva video edastamise funktsionaalsusega IKT-seadme (ehk "saatja" poole) abil. "Saatja" poolel tuleb viibelda ning seejärel kontrollida, kas testitav veeb (ehk "vastuvõtja" pool) näitab, kes viipleb. 
</t>
    </r>
  </si>
  <si>
    <t>Videoesitleja testid. Nendele nõuetele vastavust saab testida vaid juhul, kui alamlehel on selle sisse ehitatud videoesitleja või sellel saab videosid konverteerida (tegemist on vähetõenäoliste olukordadega).</t>
  </si>
  <si>
    <t>7.1.1</t>
  </si>
  <si>
    <t>Captioning playback</t>
  </si>
  <si>
    <t xml:space="preserve">Juhul kui veebilehel on omaenda videoesitleja ning selles näidatavate videote vaegkuuljate subtiitrid ei ole osa videost (st. vaegkuuljate subtiitrid ei ole video peale "põletatud"), siis pane video mängima ja kontrolli, kas kasutaja saab vaegkuuljate subtiitreid oma eelistuse järgi kuvada ja kuvamine lõpetada.
</t>
  </si>
  <si>
    <t>7.1.2</t>
  </si>
  <si>
    <t>Captioning synchronization</t>
  </si>
  <si>
    <t xml:space="preserve">Juhul kui veebilehel on omaenda videoesitleja ning selles näidatavate videote vaegkuuljate subtiitrid ei ole osa videost (st. vaegkuuljate subtiitrid ei ole video peale "põletatud"), siis kontrolli, kas heli ja vaegkuuljate subtiitrid on omavahelises sünkroonis (lubatud vahe on kuni 100 millisekundit).
</t>
  </si>
  <si>
    <t>7.1.3</t>
  </si>
  <si>
    <t>Preservation of captioning</t>
  </si>
  <si>
    <t>Juhul kui veebilehel saab videosid konverteerida, siis kontrolli, kas konverteeritud video vastab nõuetele 7.1.1 ja 7.1.2.</t>
  </si>
  <si>
    <t>7.1.4</t>
  </si>
  <si>
    <t>Captions characteristics</t>
  </si>
  <si>
    <t xml:space="preserve">Juhul kui veebilehel on omaenda videoesitleja ning selles näidatavate videote vaegkuuljate subtiitrid ei ole osa videost (st. vaegkuuljate subtiitrid ei ole video peale "põletatud"), siis kontrolli, kas kasutaja saab vaegkuuljate subtiitreid oma eelistuse järgi kohandada (nt. võimalus muuta subtiitrite kirjastiili, subtiitrite värvi jne). 
</t>
  </si>
  <si>
    <t>7.1.5</t>
  </si>
  <si>
    <t>Spoken subtitles</t>
  </si>
  <si>
    <r>
      <t>Juhul kui veebilehel on omaenda videoesitleja ning selles näidatavate videote subtiitrid ei ole osa videost (st. subtiitrid ei ole video peale "põletatud"), siis kontrolli, kas videoesitlejal on heliväljund subtiitrite heliliselt esitamiseks (nt. selle jaoks aktiveeritav heliriba (</t>
    </r>
    <r>
      <rPr>
        <i/>
        <sz val="11"/>
        <rFont val="Arial"/>
        <family val="2"/>
        <charset val="186"/>
        <scheme val="minor"/>
      </rPr>
      <t>audio track</t>
    </r>
    <r>
      <rPr>
        <sz val="11"/>
        <rFont val="Arial"/>
        <family val="2"/>
        <charset val="186"/>
        <scheme val="minor"/>
      </rPr>
      <t xml:space="preserve">)).
</t>
    </r>
  </si>
  <si>
    <t>7.2.1</t>
  </si>
  <si>
    <t>Audio description playback</t>
  </si>
  <si>
    <r>
      <t>Juhul kui veebilehel on omaenda videoesitleja ning vähemalt ühel selles selles näidataval videol on helikirjeldus (</t>
    </r>
    <r>
      <rPr>
        <i/>
        <sz val="11"/>
        <rFont val="Arial"/>
        <family val="2"/>
        <charset val="186"/>
        <scheme val="minor"/>
      </rPr>
      <t>audio description</t>
    </r>
    <r>
      <rPr>
        <sz val="11"/>
        <rFont val="Arial"/>
        <family val="2"/>
        <charset val="186"/>
        <scheme val="minor"/>
      </rPr>
      <t>; helikirjeldus on pealeloetav kirjeldus, kus dialoogide vahel kirjeldatakse ka ekraanil nähtavat), siis kontrolli, kas videoesitlejal on funktsionaalsus, mis lubab mängida helikirjeldust põhilise heli asemel või mõlemat heliriba (</t>
    </r>
    <r>
      <rPr>
        <i/>
        <sz val="11"/>
        <rFont val="Arial"/>
        <family val="2"/>
        <charset val="186"/>
        <scheme val="minor"/>
      </rPr>
      <t>audio track</t>
    </r>
    <r>
      <rPr>
        <sz val="11"/>
        <rFont val="Arial"/>
        <family val="2"/>
        <charset val="186"/>
        <scheme val="minor"/>
      </rPr>
      <t xml:space="preserve">) korraga.
</t>
    </r>
  </si>
  <si>
    <t>7.2.2</t>
  </si>
  <si>
    <t>Audio description synchronization</t>
  </si>
  <si>
    <r>
      <t>Juhul kui veebilehel on omaenda videoesitleja ning vähemalt ühel selles selles näidataval videol on helikirjeldus (</t>
    </r>
    <r>
      <rPr>
        <i/>
        <sz val="11"/>
        <rFont val="Arial"/>
        <family val="2"/>
        <charset val="186"/>
        <scheme val="minor"/>
      </rPr>
      <t>audio description</t>
    </r>
    <r>
      <rPr>
        <sz val="11"/>
        <rFont val="Arial"/>
        <family val="2"/>
        <charset val="186"/>
        <scheme val="minor"/>
      </rPr>
      <t xml:space="preserve">; helikirjeldus on pealeloetav kirjeldus, kus dialoogide vahel kirjeldatakse ka ekraanil nähtavat), siis kontrolli, kas video ning helikirjeldus on omavahel sünkroonis.
</t>
    </r>
  </si>
  <si>
    <t>7.2.3</t>
  </si>
  <si>
    <t>Preservation of audio description</t>
  </si>
  <si>
    <t>Juhul kui veebilehel saab videosid konverteerida, siis kontrolli, kas konverteeritud video vastab nõuetele 7.2.1 ja 7.2.2.</t>
  </si>
  <si>
    <r>
      <t>Loomeinstrumentide (</t>
    </r>
    <r>
      <rPr>
        <b/>
        <i/>
        <sz val="11"/>
        <rFont val="Arial"/>
        <family val="2"/>
        <charset val="186"/>
        <scheme val="minor"/>
      </rPr>
      <t>authoring tool</t>
    </r>
    <r>
      <rPr>
        <b/>
        <sz val="11"/>
        <rFont val="Arial"/>
        <family val="2"/>
        <charset val="186"/>
        <scheme val="minor"/>
      </rPr>
      <t>) testid. Nendele nõuetele vastavust saab testida vaid juhul, kui alamlehe põhifunktsioon on digitaalse sisu arendamine (tegemist on vähetõenäolise olukorraga).</t>
    </r>
  </si>
  <si>
    <t>11.8.2</t>
  </si>
  <si>
    <t>Accessible content creation</t>
  </si>
  <si>
    <t>Juhul kui alamlehe põhifunktsioon on digitaalse sisu arendamine, siis kontrolli, kas selle tööriistad võimaldavad luua sisu, mis vastab Euroopa digiligipääsetavuse standardi 9. peatükile (juhul kui loodav sisu on veebiline) või 10. peatükile (juhul kui loodav sisu on mitte-veebiline).</t>
  </si>
  <si>
    <t>11.8.3</t>
  </si>
  <si>
    <t>Preservation of accessibility information in transformations</t>
  </si>
  <si>
    <t xml:space="preserve">Juhul kui alamlehe põhifunktsioon on digitaalse sisu arendamine ja see pakub võimalust sisu teisendada (sisu platvorm jääb samaks, aga sisu struktuur muutub, nt. dokument jagatakse eraldi failideks) või ümber kodeerida (sisu kodeerimise tehnoloogia muutub), siis kontrolli, kas ligipääsetavuse info jääb selles samaks.
</t>
  </si>
  <si>
    <t>11.8.4</t>
  </si>
  <si>
    <t>Repair assistance</t>
  </si>
  <si>
    <r>
      <t>Juhul kui alamlehe põhifunktsioon on digitaalse sisu arendamine ja sel on funktsionaalsus, mis tuvastab ligipääsetavuse puudujääke, siis kontrolli, kas loomeinstrument (</t>
    </r>
    <r>
      <rPr>
        <i/>
        <sz val="11"/>
        <rFont val="Arial"/>
        <family val="2"/>
        <charset val="186"/>
        <scheme val="minor"/>
      </rPr>
      <t>authoring tool</t>
    </r>
    <r>
      <rPr>
        <sz val="11"/>
        <rFont val="Arial"/>
        <family val="2"/>
        <charset val="186"/>
        <scheme val="minor"/>
      </rPr>
      <t xml:space="preserve">) pakub soovitusi ligipääsetavuse puudujääkide parandamiseks.
</t>
    </r>
  </si>
  <si>
    <t>11.8.5</t>
  </si>
  <si>
    <t>Templates</t>
  </si>
  <si>
    <r>
      <t>Juhul kui alamlehe põhifunktsioon on digitaalse sisu arendamine, siis kontrolli, kas vähemalt üks digitaalse sisu loomise vormidest (</t>
    </r>
    <r>
      <rPr>
        <i/>
        <sz val="11"/>
        <rFont val="Arial"/>
        <family val="2"/>
        <charset val="186"/>
        <scheme val="minor"/>
      </rPr>
      <t>template</t>
    </r>
    <r>
      <rPr>
        <sz val="11"/>
        <rFont val="Arial"/>
        <family val="2"/>
        <charset val="186"/>
        <scheme val="minor"/>
      </rPr>
      <t>) vastab Euroopa digiligipääsetavuse standardile ja on vastavalt märgistatud.</t>
    </r>
  </si>
  <si>
    <t>11.8.1</t>
  </si>
  <si>
    <t>Content technology</t>
  </si>
  <si>
    <t>Nõue on vastav ainult siis, kui nõuded 11.8.2, 11.8.3, 11.8.4 ja 11.8.5 on eranditult vastavad.</t>
  </si>
  <si>
    <t>K</t>
  </si>
  <si>
    <t>Avaleht</t>
  </si>
  <si>
    <t>V</t>
  </si>
  <si>
    <t>Ostukorv</t>
  </si>
  <si>
    <t>EN 9.3.2.3 
WCAG 3.2.3</t>
  </si>
  <si>
    <t>MV - Mittevastav</t>
  </si>
  <si>
    <t>K - Kohaldamatu</t>
  </si>
  <si>
    <t>Hindamistulemus</t>
  </si>
  <si>
    <t xml:space="preserve">Alamlehtedel, kus on kasutajatoe kontaktandmed, on testi tulemus vastav siis, kui ekraanilugejaga on võimalik teada saada vähemalt üks kontaktviis (nt. telefoninumber, meiliaadress, domeeni omaniku postiaadress).
</t>
  </si>
  <si>
    <t>9.3.2.4 
WCAG 3.2.4</t>
  </si>
  <si>
    <t>9.1.1.1 
WCAG 1.1.1</t>
  </si>
  <si>
    <t>9.1.3.3 
WCAG 1.3.3</t>
  </si>
  <si>
    <t xml:space="preserve">9.1.4.2
WCAG 1.4.2 </t>
  </si>
  <si>
    <t>9.2.2.1 
WCAG 2.2.1</t>
  </si>
  <si>
    <t>9.2.2.2 
WCAG 2.2.1</t>
  </si>
  <si>
    <t>9.2.3.1 
WCAG 2.3.1</t>
  </si>
  <si>
    <t xml:space="preserve">9.2.4.2
WCAG 2.4.2 </t>
  </si>
  <si>
    <t>9.2.4.5 
WCAG 2.4.5</t>
  </si>
  <si>
    <t>9.2.4.6 
WCAG 2.4.6</t>
  </si>
  <si>
    <t xml:space="preserve">9.2.5.1
WCAG 2.5.1 </t>
  </si>
  <si>
    <t>9.2.5.2 
WCAG 2.5.2</t>
  </si>
  <si>
    <t>9.2.5.4 
WCAG 2.5.4</t>
  </si>
  <si>
    <t>9.1.4.1 
WCAG 1.4.1</t>
  </si>
  <si>
    <t>9.3.3.1 
WCAG 3.3.1</t>
  </si>
  <si>
    <t>9.3.3.3 
WCAG 3.3.3</t>
  </si>
  <si>
    <t>9.3.3.2
WCAG 3.3.2</t>
  </si>
  <si>
    <t>9.3.3.4 
WCAG 3.3.4</t>
  </si>
  <si>
    <t>9.1.4.3
WCAG 1.4.3</t>
  </si>
  <si>
    <t>9.1.4.11 
WCAG 1.4.11</t>
  </si>
  <si>
    <t>9.1.4.12 
WCAG 1.4.12</t>
  </si>
  <si>
    <t>9.1.4.4 
WCAG 1.4..</t>
  </si>
  <si>
    <t>9.1.3.2 
WCAG 1.3.2</t>
  </si>
  <si>
    <t>9.1.4.10 
WCAG 1.4.10</t>
  </si>
  <si>
    <t>9.1.4.5 
WCAG 1.4.5</t>
  </si>
  <si>
    <t>9.1.3.4
WCAG 1.3.4</t>
  </si>
  <si>
    <t>9.1.3.5
WCAG 1.3.5</t>
  </si>
  <si>
    <t>9.3.1.1 
WCAG 3.1.1</t>
  </si>
  <si>
    <t>9.3.1.2 
WCAG 3.1.2</t>
  </si>
  <si>
    <t>9.1.2.1
WCAG 1.2.1</t>
  </si>
  <si>
    <t>9.1.2.2
WCAG 1.2.2</t>
  </si>
  <si>
    <t>9.1.2.5 
WCAG 1.2.5</t>
  </si>
  <si>
    <t>9.1.2.3
WCAG 1.2.3</t>
  </si>
  <si>
    <t>9.2.1.4 
WCAG 2.1.4</t>
  </si>
  <si>
    <t>9.2.1.1 
WCAG 2.1.1</t>
  </si>
  <si>
    <t>9.2.1.2 
WCAG 2.1.2</t>
  </si>
  <si>
    <t>9.2.4.3 
WCAG 2.4.3</t>
  </si>
  <si>
    <t>9.2.4.7 
WCAG 2.4.7</t>
  </si>
  <si>
    <t>9.3.2.1 
WCAG 3.2.1</t>
  </si>
  <si>
    <t>9.3.2.2 
WCAG 3.2.2</t>
  </si>
  <si>
    <t>9.1.4.13 
WCAG 1.4.13</t>
  </si>
  <si>
    <t>9.1.1.1
WCAG 1.1.1</t>
  </si>
  <si>
    <t>9.1.3.1 
WCAG 1.3.1</t>
  </si>
  <si>
    <t>9.2.4.1 
WCAG 2.4.1</t>
  </si>
  <si>
    <t>9.2.4.4 
WCAG 2.4.4</t>
  </si>
  <si>
    <t>9.2.5.3 
WCAG 2.5.3</t>
  </si>
  <si>
    <t>9.4.1.2 
WCAG 4.1.2</t>
  </si>
  <si>
    <t>9.4.1.3 
WCAG 4.1.3</t>
  </si>
  <si>
    <t>Alamlehe mittevastavused kokku</t>
  </si>
  <si>
    <t xml:space="preserve">Testi käigus tuleb kontrollida, kas veebid alluvad veebilehitseja või kasutaja määratud seadistusele mõõtühikute, veebilehe värvi, kontrastsuse, kirjastiili, kirjastiili suuruse ning kursori fookusstiili osas. Näiteks veebilehitseja Google Chrome seadetes saab muuta kirjastiili suurust ning Windowsi operatsioonisüsteemi kasutava arvuti seadete alt leiab kõrgkontrastsuse sektsiooni, mis võimaldab muuta kuva tavapärasest kontrastsemaks.
</t>
  </si>
  <si>
    <t>Alamlehe lihtkontroll. Nende nõuete vastavuse kindlaks tegemiseks tuleb alamleht üle vaadata ilma testimiseks mõeldud abivahendeid kasutamata.</t>
  </si>
  <si>
    <t xml:space="preserve">Kui veebilehel on digiligipääsetavuse funktsioonide kasutusjuhis, siis kontrolli testitaval alamlehel, kas vastavad funktsioonid on aktiveeritavad ka vastava erivajadusega inimesele. 
Näiteks kui digiligipääsetavuse funktsioonide kasutusjuhise järgi on võimalik vaegnägijal muuta veebileht kõrgkontrastseks vastavat veebilehe funktsionaalsust kasutades, siis kõik nupud peavad olema kõrgkontrastsed. 
</t>
  </si>
  <si>
    <t xml:space="preserve">Teosta kontroll visuaalselt. 
Kontrolli olukordi, kus kasutajale antakse tekstilisi juhendeid veebilehe sisu kasutamiseks. 
Näiteks tekstilised juhendid ei tohi viidata ainult vastavate elementide kujule, suurusele ja asukohale (näiteks värvilised nooled, ümarad nupud jne) ning kasutajale tuleb anda mõni muu viide lisaks (näiteks värvilisele edasiminekuks mõeldud noolele on kirjutatud "edasi" ja juhend suunab klikkima värvilisele noolele, mille peale on kirjutatud "edasi").  </t>
  </si>
  <si>
    <t xml:space="preserve">Kui alamlehel hakkab automaatselt mängima heli, mis kestab kauem kui 3 sekundit, siis kontrolli, kas seda on võimalik katkestada, kinni panna või selle helitugevust muuta.
</t>
  </si>
  <si>
    <t xml:space="preserve">Kui lehel on lühem kui 20 tundi ajalimiit, peab kasutajat sellest hoiatama ning lubama limiidi välja lülitamist või pikendamist (selleks toiminguks peab andma vähemalt 20 sekundit aega). 
</t>
  </si>
  <si>
    <t xml:space="preserve">Teosta kontroll visuaalselt.
Kontrolli, kas on võimalus peatada, panna pausile, kohandada või peita dünaamilist sisu (nt automaatne lehevärskendus), automaatselt liikuvat ja sähvivat sisu (animatsioonid, karussellid jne), mis kestavad kauem kui 5 sekundit. 
</t>
  </si>
  <si>
    <r>
      <t xml:space="preserve">Teosta kontroll visuaalselt.
Kontrolli, kas alamlehel on tiitel (st. kas lehekülje koodis on </t>
    </r>
    <r>
      <rPr>
        <i/>
        <sz val="11"/>
        <rFont val="Arial"/>
        <family val="2"/>
        <charset val="186"/>
        <scheme val="minor"/>
      </rPr>
      <t>title</t>
    </r>
    <r>
      <rPr>
        <sz val="11"/>
        <rFont val="Arial"/>
        <family val="2"/>
        <charset val="186"/>
        <scheme val="minor"/>
      </rPr>
      <t xml:space="preserve"> atribuut). Kontrollimiseks mine hiirega veebilehitseja ülemisel real vastava vahekaardi peale, misjärel ilmub tiitli olemasolul kast koos lehekülje tiitliga. Vaata, kas alamlehe tiitel kirjeldab alamlehe teemat või otstarvet.
</t>
    </r>
  </si>
  <si>
    <t xml:space="preserve">Teosta kontroll visuaalselt. 
Kontrolli, kas lehe pealkirjad kirjeldavad järgnevat sisu; kas vormiväljade pealkirjad kirjeldavad täpselt, mida sinna kirjutada jne (nt. “Eesnimi” ja “Perekonnanimi”, mitte “Nimi” ja “Perekonnanimi”).
</t>
  </si>
  <si>
    <t xml:space="preserve">Teosta kontroll visuaalselt.
*** Teave, mida edastatakse omavahel eristatud värvidega, peab olema ka tekstiliselt olemas.
*** Värvilistel vormi nuppudel on olemas tekst.
*** Värvilistel tekstidel, kus värv näitab selle teksti spetsiifilist tähendust, on tekstil juures veel mõni visuaalne tunnus, mis näitab selle teksti spetsiifilist tähendust.
*** Kui mittetekstilist sisu eristatakse vaid värvidega, on seesama sisu eristatud ka mustriga (näiteks joondiagrammil on üks joon esitatud siniselt ja pidevjoonena ning teine joon roheliselt ja punktiirina). 
*** Kui lingid või nupud on eristatud ainult värviga, siis:
- peab lingi või nupu kontrastsussuhe võrreldes ümbritseva tekstiga olema vähemalt 3:1’le (vajadusel testi seda olukorda koos kontrastsusnõuete 9.1.4.3 ja 9.1.4.11 vastavuse testimisega). 
- peab kursorit selle elemendi peal liigutades tekkima juurde veel mõni visuaalne eristav tunnus.
Vaata üle tekstid, lingid, diagrammid, sisestusväljad (otsingulahter, väljad sisselogimiseks, uudiskirjaga liitumiseks vms) jne. 
Juhul, kui testitaval alamlehel on vorm, siis testi nõudeid 9.1.4.1, 9.3.3.1 ja 9.3.3.3 koos. Nõude 9.1.4.1 raames vaata üle, kas vigane väli on eristatud lisaks värvile veel mõne visuaalse tunnusega. 
</t>
  </si>
  <si>
    <t>Kirjuta vormi sihilikult midagi valesti, proovi vorm ära saata ja kontrolli, kas vigane väli on teistest eristatud ning kas selle välja juurde tekkis tekstiline veateade.
Kui testitaval alamlehel on vorm, siis testi nõudeid 9.1.4.1, 9.3.3.1 ja 9.3.3.3 koos.</t>
  </si>
  <si>
    <t>Kontrolli, kas veateates on soovitus selle parandamiseks. 
Kui testitaval alamlehel on vorm, siis testi nõudeid 9.1.4.1, 9.3.3.1 ja 9.3.3.3 koos.</t>
  </si>
  <si>
    <t xml:space="preserve">Teosta kontroll visuaalselt.
Kui testitaval alamlehel on vorm, mille ära saatmisel on õiguslikud või finantsilised tagajärjed, siis kontrolli, kas kasutajal on võimalik sisestatud info üle vaadata, seda parandada ning vajadusel vormi ärasaatmine tagasi võtta. 
</t>
  </si>
  <si>
    <r>
      <t>Kontrolli, kas eellindistatud helisalvestisele või ilma helita videole (nt. animatsioon või tummfilm) on lisatud selle sisu edasi andev alternatiiv. 
Helisalvestise puhul näiteks tekstiline sisukirjeldus (</t>
    </r>
    <r>
      <rPr>
        <i/>
        <sz val="11"/>
        <rFont val="Arial"/>
        <family val="2"/>
        <charset val="186"/>
        <scheme val="minor"/>
      </rPr>
      <t>transcription</t>
    </r>
    <r>
      <rPr>
        <sz val="11"/>
        <rFont val="Arial"/>
        <family val="2"/>
        <charset val="186"/>
        <scheme val="minor"/>
      </rPr>
      <t>) nagu salvestise sisu käsikiri; helitu video puhul näiteks helikirjeldus (</t>
    </r>
    <r>
      <rPr>
        <i/>
        <sz val="11"/>
        <rFont val="Arial"/>
        <family val="2"/>
        <charset val="186"/>
        <scheme val="minor"/>
      </rPr>
      <t>audio description</t>
    </r>
    <r>
      <rPr>
        <sz val="11"/>
        <rFont val="Arial"/>
        <family val="2"/>
        <charset val="186"/>
        <scheme val="minor"/>
      </rPr>
      <t xml:space="preserve">; helikirjeldus on pealeloetav kirjeldus, kus dialoogide vahel kirjeldatakse ka ekraanil nähtavat).
</t>
    </r>
  </si>
  <si>
    <t xml:space="preserve">Kontrolli lähtekoodist, kas osa alamlehe tekstist, mis on teises keeles kui alamlehel põhikeel, on fikseeritud vastava HTML'i atribuudiga (nt. blockquote lang="ru"; span lang="en").
</t>
  </si>
  <si>
    <t xml:space="preserve">Kontrolli lähtekoodist, kas alamlehe keel on fikseeritud vastava HTML'i atribuudiga (nt. html lang="et") ning kas keeletähis on korrektne (eesti keel - et.
</t>
  </si>
  <si>
    <t xml:space="preserve">Kontrolli, kas eellindistatud helile mistahes vormis (nt. taskuhääling, helindatud video) on lisatud selle sisu sünkroonselt edasi andvad vaegkuuljate subtiitrid.
</t>
  </si>
  <si>
    <r>
      <t>Kontrolli, kas eellindistatud videole on lisatud selle sisu sünkroonselt edasi andev tekstiline sisukirjeldus (</t>
    </r>
    <r>
      <rPr>
        <i/>
        <sz val="11"/>
        <rFont val="Arial"/>
        <family val="2"/>
        <charset val="186"/>
        <scheme val="minor"/>
      </rPr>
      <t>transcription</t>
    </r>
    <r>
      <rPr>
        <sz val="11"/>
        <rFont val="Arial"/>
        <family val="2"/>
        <charset val="186"/>
        <scheme val="minor"/>
      </rPr>
      <t>; nt. salvestise sisu käsikiri) või helikirjeldus (</t>
    </r>
    <r>
      <rPr>
        <i/>
        <sz val="11"/>
        <rFont val="Arial"/>
        <family val="2"/>
        <charset val="186"/>
        <scheme val="minor"/>
      </rPr>
      <t>audio description).</t>
    </r>
    <r>
      <rPr>
        <sz val="11"/>
        <rFont val="Arial"/>
        <family val="2"/>
        <charset val="186"/>
        <scheme val="minor"/>
      </rPr>
      <t xml:space="preserve">
</t>
    </r>
  </si>
  <si>
    <r>
      <t>Vajuta klaviatuuril ükshaaval läbi kõik tähed ja numbrid kontrollimaks, kas klaviatuuri kiirvalikud sel alamlehel koosnevad ainult üksikutest tähe- või numbriklahvidest (see funktsionaalsus sobib klaviatuuri kasutajatele, aga segab näiteks häälkäskluste kasutajaid). 
Juhul kui mõni ühe-klahviline kiirvalik aktiveerub (nt. otsingufunktsiooni saab vaikimisi aktiveerida vaid ainult tähega s), siis peab olema võimalik sellised kiirvalikud välja lülitada või ümber seadistada (nt. lisada kiirvalikusse muuteklahvi (</t>
    </r>
    <r>
      <rPr>
        <i/>
        <sz val="11"/>
        <rFont val="Arial"/>
        <family val="2"/>
        <charset val="186"/>
        <scheme val="minor"/>
      </rPr>
      <t>modifier key</t>
    </r>
    <r>
      <rPr>
        <sz val="11"/>
        <rFont val="Arial"/>
        <family val="2"/>
        <charset val="186"/>
        <scheme val="minor"/>
      </rPr>
      <t xml:space="preserve">) nagu näiteks Shift. 
</t>
    </r>
  </si>
  <si>
    <t xml:space="preserve">Samaaegselt nõude 9.2.1.1 testimisega kontrolli, et elemendi fookussesse võtmisel ei toimu olulist ja ootamatut muutust. 
Näiteks nõue on mittevastav siis, kui liigutada klaviatuuriga fookus vormi saatmise nupule ning ilma seda nuppu vajutamata (st. ilma vormi ära saatmise käsklust andmata) saadab veebileht vormi automaatselt ära.
</t>
  </si>
  <si>
    <r>
      <t>Nõue käsitleb sellist sisu, mis ilmub välja alles siis, kui mingi elemendi peal kursorit nii-öelda hõljutada (</t>
    </r>
    <r>
      <rPr>
        <i/>
        <sz val="11"/>
        <rFont val="Arial"/>
        <family val="2"/>
        <charset val="186"/>
        <scheme val="minor"/>
      </rPr>
      <t>hover</t>
    </r>
    <r>
      <rPr>
        <sz val="11"/>
        <rFont val="Arial"/>
        <family val="2"/>
        <charset val="186"/>
        <scheme val="minor"/>
      </rPr>
      <t xml:space="preserve">) või sellele elemendile klaviatuuriga fookust anda (nt. olukord, kus „hõljutades“ kursorit menüü ühe nupu peal, ilmub kursori alla lisatekst, mis varjab ära menüü mõne teise nupu). 
Kontrolli nii klaviatuuri kui hiirega, kas:
*** tekkinud sisu on võimalik kinni panna ilma kursorit või fookust liigutamata (näiteks ESC klahviga) JA 
*** kursori saab liigutada tekkinud sisu peale ilma, et see ära kaoks JA 
*** tekkinud sisu ei kao ära enne, kui kasutaja selle tahtlikult kinni paneb, kursori või fookuse mujale liigutab või kui tekkinud sisu (näiteks veateade) pole enam aktuaalne.
</t>
    </r>
  </si>
  <si>
    <r>
      <t xml:space="preserve">Kontrolli ekraanilugejaga vastavate olukordade olemasolul, kas:
*** ekraanilugeja ütleb välja, kui ta jõuab leheküljel uue osani (päis, menüü, põhisisu, jalus, külgriba, bänner, otsing jne). See test näitab, kas lehekülje struktuur on märgistatud semantilise HTML'i struktuurielementide või ARIA </t>
    </r>
    <r>
      <rPr>
        <i/>
        <sz val="11"/>
        <rFont val="Arial"/>
        <family val="2"/>
        <charset val="186"/>
        <scheme val="minor"/>
      </rPr>
      <t>Landmark</t>
    </r>
    <r>
      <rPr>
        <sz val="11"/>
        <rFont val="Arial"/>
        <family val="2"/>
        <charset val="186"/>
        <scheme val="minor"/>
      </rPr>
      <t>'idega. 
*** ekraanilugeja loeb visuaalselt esitatud pealkirjad ette korrektselt (korrektselt ette loetud pealkiri koosneb vastavast fraasist ja elemendist, näiteks "Digiligipääsetavuse tagamine heading level 1") ning esitab pealkirjade struktuuri korrektselt (lehel on olemas üks 1. taseme pealkiri; pealkirja tasemed on korrastatud ehk näiteks 2. tasemest madalam tase ei ole 4. tase, vaid on 3. tase; ei esine pealkirja elementi ilma pealkirjata jne). See test näitab, kas pealkirjad on kirjeldatud lähtekoodis korrektse märgistusega.
*** ekraanilugeja nimetab iga vormivälja juures sellega seotud sildi (</t>
    </r>
    <r>
      <rPr>
        <i/>
        <sz val="11"/>
        <rFont val="Arial"/>
        <family val="2"/>
        <charset val="186"/>
        <scheme val="minor"/>
      </rPr>
      <t>label</t>
    </r>
    <r>
      <rPr>
        <sz val="11"/>
        <rFont val="Arial"/>
        <family val="2"/>
        <charset val="186"/>
        <scheme val="minor"/>
      </rPr>
      <t xml:space="preserve">; testimiseks tuleb liikuda tab-nupuga - see viib ekraanilugeja fookuse klikitavalt elemendilt klikitavale elemendile tekstil peatumata - ning vormiväljale jõudes peab ekraanilugeja sildi nimetama; korrektselt ette loetud märguanne koosneb vastavast sildist ja vormivälja elemendist, näiteks "Eesnimi edit"). See test näitab, kas sildid on seotud vastavate vormiväljadega.
*** ekraanilugeja nimetab tabeli pealkirja ning seostab tabeli andmelahtri vastava veeru päiselahtriga (kõige ülemine rida) ja/või vastava rea päiselahtriga (kõige vasakpoolsem veerg). See test näitab, kas tabel on kirjeldatud lähtekoodis korrektse märgistusega.
*** ekraanilugeja loeb nimekirju nimekirjana (näiteks 3 punktilise nimekirja puhul ütleb enne nimekirja ette lugemist "list with 3 items" ja pärast nimekirja ette lugemist "out of list") ning nummerdatud nimekirju nummerdatuna (st. ekraanilugeja ütleb enne punkti ette lugemist, et see on 1., 2., 3. jne selles nimekirjas). See test näitab, kas nimekiri on kirjeldatud lähtekoodis korrektse märgistusega.
</t>
    </r>
  </si>
  <si>
    <r>
      <t>Tulemuste kokkuvõtte parema poole sinistes lahtrites on valemid (liitmistehe ja protsendi võtmine). Horisontaalsed read (v.a kõige alumine) näitavad alamlehtede/ekraanikuvade</t>
    </r>
    <r>
      <rPr>
        <b/>
        <sz val="10"/>
        <color rgb="FFFF0000"/>
        <rFont val="Arial"/>
        <family val="2"/>
        <charset val="186"/>
      </rPr>
      <t xml:space="preserve"> </t>
    </r>
    <r>
      <rPr>
        <b/>
        <sz val="10"/>
        <color rgb="FF000000"/>
        <rFont val="Arial"/>
        <family val="2"/>
        <charset val="186"/>
      </rPr>
      <t>lõikes nõuete arvu, mis on standardiga mittevastavuses (MV); standardiga mittevastavuses nõuete protsenti kõigist kohustuslikest nõuetest (MV%) ning kohustuslike nõuete arvu kokku (KOKKU). Kõige alumine horisontaalne rida näitab sedasama terve veebidomeeni või mobiilirakenduse kohta.</t>
    </r>
  </si>
  <si>
    <t>Alamlehe/ekraanikuva nimetus</t>
  </si>
  <si>
    <t>Veebidomeeni nimi:</t>
  </si>
  <si>
    <t>Domeeni aadress:</t>
  </si>
  <si>
    <t>V - Vastav</t>
  </si>
  <si>
    <r>
      <t>***</t>
    </r>
    <r>
      <rPr>
        <b/>
        <sz val="10"/>
        <color rgb="FFFF0000"/>
        <rFont val="Arial"/>
        <family val="2"/>
        <charset val="186"/>
        <scheme val="minor"/>
      </rPr>
      <t xml:space="preserve"> </t>
    </r>
    <r>
      <rPr>
        <b/>
        <sz val="10"/>
        <color theme="1"/>
        <rFont val="Arial"/>
        <family val="2"/>
        <charset val="186"/>
        <scheme val="minor"/>
      </rPr>
      <t>Käesolev audit hindab veebidomeeni vastavust Euroopa Liidu digiligipääsetavuse standardi EN 301 549 V3.2.1 (2021-03) lisas A (standardi lk 89-104) viidatud kohustuslikele ligipääsetavusnõuetele.
*** Kõrvalsakkides asuvad veebide testimisjuhendid on koostatud erinevatele allikatele tuginedes. Kaks kõige autoriteetsemat allikat, millest ligipääsetavusnõuetele vastavuse kohta lisainfot otsida, on standard (nõuded lk 23-85 ja suunised nõuetele vastavuse hindamiseks lk 115-180) ning WCAG nõuete seletused (</t>
    </r>
    <r>
      <rPr>
        <b/>
        <i/>
        <sz val="10"/>
        <color theme="1"/>
        <rFont val="Arial"/>
        <family val="2"/>
        <charset val="186"/>
        <scheme val="minor"/>
      </rPr>
      <t>WCAG 2.1 Understanding Docs</t>
    </r>
    <r>
      <rPr>
        <b/>
        <sz val="10"/>
        <color theme="1"/>
        <rFont val="Arial"/>
        <family val="2"/>
        <charset val="186"/>
        <scheme val="minor"/>
      </rPr>
      <t>).</t>
    </r>
  </si>
  <si>
    <t>Selles tulbas on esitatud number, millega on testitav nõue tähistatud standardis EN 301 549 V3.2.1. Lisaks on osade standardite numbrite järel ka selle sama nõude tähistus WCAG-s.</t>
  </si>
  <si>
    <t>Siia tulpa märgitakse vastava alamlehe hindamistulemus.
*** Nõuded, mille rakendamise eeltingimus ei ole täidetud või mida ei saa testida (nt. seetõttu, et vastav olukord puudub testitaval alamlehel/ekraanikuvas/mitte-veebilises dokumendis) tuleb märkida hindamisvormis tähega K (ehk "kohaldamatu"). 
*** Kõik ülejäänud nõuded tuleb märkida vastavalt testi tulemusele V (ehk "vastav") või MV (ehk "mittevastav"). Vastav on tulemus siis, kui testi tulemusel ei tuvastata mitte ühtegi puudujääki. Mittevastav on tulemus siis, kui testi tulemusel tuvastatakse vähemalt üks puudujääk.</t>
  </si>
  <si>
    <r>
      <t>*** Tegemist on hindamisvormi kõige viimase tulbaga. Igas selle tulba lahtris on valem, mis fikseerib ära kõik nõuded, millel esines vähemalt üks mittevastavus kõikide alamlehtede</t>
    </r>
    <r>
      <rPr>
        <b/>
        <sz val="10"/>
        <color rgb="FFFF0000"/>
        <rFont val="Arial"/>
        <family val="2"/>
        <charset val="186"/>
        <scheme val="minor"/>
      </rPr>
      <t xml:space="preserve"> </t>
    </r>
    <r>
      <rPr>
        <b/>
        <sz val="10"/>
        <rFont val="Arial"/>
        <family val="2"/>
        <charset val="186"/>
        <scheme val="minor"/>
      </rPr>
      <t xml:space="preserve">hindamistulemuste seas. Sellisel juhul on kuvatud vastavas lahtris tekst "Esineb mittevastavus". 
Juhul kui ei esine ühtegi mittevastavust, jääb lahter tühjaks. </t>
    </r>
  </si>
  <si>
    <t>testitud alamlehte/ekraanikuva</t>
  </si>
  <si>
    <t xml:space="preserve">ALAMLEHTEDE/EKRAANIKUVADE VALIM JA HINDAMISTULEMUSTE KOKKUVÕTE </t>
  </si>
  <si>
    <t>Kontaktid</t>
  </si>
  <si>
    <t>Tööriista soovitused</t>
  </si>
  <si>
    <t>Testid tööriistadega. Nendele nõuetele vastavuse kindlaks tegemiseks tuleb kasutada vastavaid tööriistu (v.a klaviatuur ja ekraanilugeja).</t>
  </si>
  <si>
    <r>
      <rPr>
        <b/>
        <sz val="10"/>
        <color rgb="FF000000"/>
        <rFont val="Arial"/>
        <family val="2"/>
        <charset val="186"/>
      </rPr>
      <t>Web Developer</t>
    </r>
    <r>
      <rPr>
        <sz val="10"/>
        <color rgb="FF000000"/>
        <rFont val="Arial"/>
        <family val="2"/>
        <charset val="186"/>
      </rPr>
      <t xml:space="preserve">  laiendus (</t>
    </r>
    <r>
      <rPr>
        <i/>
        <sz val="10"/>
        <color rgb="FF000000"/>
        <rFont val="Arial"/>
        <family val="2"/>
        <charset val="186"/>
      </rPr>
      <t>extension</t>
    </r>
    <r>
      <rPr>
        <sz val="10"/>
        <color rgb="FF000000"/>
        <rFont val="Arial"/>
      </rPr>
      <t>) -  saab lisada Google Chrome'i, Firefox'i ja Opera'le. Rohkem infot: https://chrispederick.com/work/web-developer/</t>
    </r>
  </si>
  <si>
    <r>
      <rPr>
        <b/>
        <sz val="10"/>
        <color rgb="FF000000"/>
        <rFont val="Arial"/>
        <family val="2"/>
        <charset val="186"/>
      </rPr>
      <t>Color Picker</t>
    </r>
    <r>
      <rPr>
        <sz val="10"/>
        <color rgb="FF000000"/>
        <rFont val="Arial"/>
        <family val="2"/>
        <charset val="186"/>
      </rPr>
      <t xml:space="preserve"> värvikoodi leidmine pildilt - https://html-color-codes.info/colors-from-image/</t>
    </r>
  </si>
  <si>
    <r>
      <rPr>
        <b/>
        <sz val="10"/>
        <color rgb="FF000000"/>
        <rFont val="Arial"/>
        <family val="2"/>
        <charset val="186"/>
      </rPr>
      <t>WEBAIM contrast cheker</t>
    </r>
    <r>
      <rPr>
        <sz val="10"/>
        <color rgb="FF000000"/>
        <rFont val="Arial"/>
        <family val="2"/>
        <charset val="186"/>
      </rPr>
      <t xml:space="preserve"> värvide omavahelise kontrastsuse määramine - https://webaim.org/resources/contrastchecker/</t>
    </r>
  </si>
  <si>
    <t xml:space="preserve">Kasutajaliidese elemendi (nt. sisestusväli) või graafilise elemendi (nt. ikoon) ja tema tausta värvide kontrastus peab olema vähemalt 3:1 erinevates olekutes (elemendil on fookus/ei ole ole fookust jne). 
Tee kuvatõmmis, uuri välja värvikoodid ning värvide kontrastsust saab kontrollida värvikoodide järgi WEBAIM tööriistas 
Kui veebil on stiilivahetaja (st. pakutakse võimalust sisse lülitada kõrgkontrastne vaade), siis võib tavavaates kontrastsusvigu olla, aga sellisel juhul peab kõrgkontrastne vaade vastama täielikult nõuetele. 
</t>
  </si>
  <si>
    <r>
      <rPr>
        <b/>
        <sz val="10"/>
        <color rgb="FF000000"/>
        <rFont val="Arial"/>
        <family val="2"/>
        <charset val="186"/>
      </rPr>
      <t>Web develop - Allow text spacing</t>
    </r>
    <r>
      <rPr>
        <sz val="10"/>
        <color rgb="FF000000"/>
        <rFont val="Arial"/>
      </rPr>
      <t xml:space="preserve"> - https://a11y-guidelines.orange.com/en/web/develop/layout/</t>
    </r>
  </si>
  <si>
    <r>
      <t>Testi tegemiseks tuleb lisada järjehoidjaribale (</t>
    </r>
    <r>
      <rPr>
        <i/>
        <sz val="11"/>
        <rFont val="Arial"/>
        <family val="2"/>
        <charset val="186"/>
        <scheme val="minor"/>
      </rPr>
      <t>bookmarks bar</t>
    </r>
    <r>
      <rPr>
        <sz val="11"/>
        <rFont val="Arial"/>
        <family val="2"/>
        <charset val="186"/>
        <scheme val="minor"/>
      </rPr>
      <t xml:space="preserve">) "Text spacing" link. Selle leiab https://a11y-guidelines.orange.com/en/web/develop/layout/ lehelt "Allow text spacing" sektsioonist märksõna "Bookmarklet" alt. Liigu kursoriga sellel lehel alla joonitud "Text spacing" peale, klikk paremale klahvile ja siis valik "Copy link address". Liigu edasi BookMark manageri ning lisa link uue järjehoidjana.  
Näiteks Google Chromes saab seda teha minnes seadete (kolm täppi veebilehitseja sulgemisnupu all) alt Bookmark manager'i ning kleebi uue järjehoidja lisamisel kopeeritud link valikuga "Paste as plain text"  vastavasse lahtrisse.
Testitaval veebilehel tuleb sellele järjehoidjale klikkida ning seejärel suurenevad teksti vahekaugused nii kaugele nagu seda käesolev nõue näeb (reavahe 1,5 korda suurem kui font; lõikude vahe 2 korda suurem kui font; tähtede vahe 0,12 ühikut fondi suurusest; sõnade vahe 0,16 ühikut fondi suurusest). Kontrolli visuaalselt, kas kogu lehekülje tekst ja funktsionaalsus on loetav ja kasutatav.
Enne testidega jätkamist tuleb algsätted taastada (nt. lehte värskendades).
</t>
    </r>
  </si>
  <si>
    <t>Teosta kontroll visuaalselt.
Kui testitava alamlehe sisu eeldab täpset sisendit kasutajalt (nt. on alamlehel kasutajale esitatud valikute tegemiseks raadionupud, märkeruudud, vorm konkreetse sisuga info andmiseks vms), siis kontrolli:
*** kas antud elementide juures on sildid ja/või selgitused, mille järgi kasutaja saab aru, millist sisendit temalt oodatakse.
*** kui osa antud elementidest on kohustuslikud ja osa vabatahtlikud, siis peavad need olema selgelt omavahel eristatud. 
*** kui sisend peab olema olema konkreetses formaadis (nt. telefoninumber), siis on selgitatud, mis formaadis see info peab olema.</t>
  </si>
  <si>
    <t xml:space="preserve">Teksti ja tema tausta värvid peavad olema piisavalt erinevad, et nende kontrastsus oleks minimaalselt 4,5:1.
Suurte tekstide puhul 3:1 (st. tekstid, mille tähemärgi suurus on vähemalt 18 või paksus kirjas 14 punkti). 
Tee kuvatõmmis, uuri välja värvikoodid. Värvide kontrastsust saab kontrollida värvikoodide järgi WEBAIM tööriistas. Tööriista soovitused leiad tiitellehelt
Kui veebil on stiilivahetaja (st. pakutakse võimalust sisse lülitada kõrgkontrastne vaade), siis võib tavavaates kontrastsusvigu olla, aga sellisel juhul peab kõrgkontrastne vaade vastama täielikult nõuetele. 
</t>
  </si>
  <si>
    <t>NVDA ekraaniluger</t>
  </si>
  <si>
    <t>WEBAIM contrast cheker</t>
  </si>
  <si>
    <t>Veebilehitsejad: Chrome, Firefox, Edge</t>
  </si>
  <si>
    <t>Windowsi sisseehitatud kõrgkontrastne vaade</t>
  </si>
  <si>
    <t>WAVE Web Accessibility Evaluation Tool</t>
  </si>
  <si>
    <t>Web develop text spacing</t>
  </si>
  <si>
    <t>Veebilehitsejatesse sisse ehtitatud erinevad funtsioonid (zoom, teksti suurendus, developer tool)</t>
  </si>
  <si>
    <r>
      <t>Selles tulbas on kirjeldus, kuidas nõuetele vastavust testida.
Kuna ligipääsetavusnõuetele vastavuse testimiseks saab kasutada erinevaid metoodikaid, on mõne testi kirjelduse puhul täpsustatud nõude eesmärki ja toodud näiteid vastavustest või mittevastavustest. 
*** Veebide testimisjuhendis on 87 testi, mis testivad vastavust 86'le nõudele 
*** 1 nõude vastavuse testimiseks on testimisjuhendis kaks testi: vastavad testikirjeldused on testimisjuhendis</t>
    </r>
    <r>
      <rPr>
        <b/>
        <sz val="10"/>
        <color rgb="FFFF0000"/>
        <rFont val="Arial"/>
        <family val="2"/>
        <charset val="186"/>
        <scheme val="minor"/>
      </rPr>
      <t xml:space="preserve"> </t>
    </r>
    <r>
      <rPr>
        <b/>
        <u/>
        <sz val="10"/>
        <color theme="1"/>
        <rFont val="Arial"/>
        <family val="2"/>
        <charset val="186"/>
        <scheme val="minor"/>
      </rPr>
      <t>SINISE TAUSTAGA</t>
    </r>
    <r>
      <rPr>
        <b/>
        <sz val="10"/>
        <rFont val="Arial"/>
        <family val="2"/>
        <charset val="186"/>
        <scheme val="minor"/>
      </rPr>
      <t xml:space="preserve">). Juhul, kui ühe sellise nõude lõikes on vähemalt üks mittevastavus, on nõue tervikuna mittevastav. 
</t>
    </r>
  </si>
  <si>
    <t>Lehe tiitel on test.ee, mis ei anna teada, et tegu on ostukorvi vaatega.</t>
  </si>
  <si>
    <t>www.test.ee</t>
  </si>
  <si>
    <t>Odavad kaubad</t>
  </si>
  <si>
    <t>Kinkekaart</t>
  </si>
  <si>
    <t>Ostu vormistamine</t>
  </si>
  <si>
    <t>Avalehel on kasutusel karusell, mida ei ole võimalik peatada.</t>
  </si>
  <si>
    <t xml:space="preserve">Logi sisse nupu tausta ja alamlehe tausta kontrastsus on 2:1.
Ostukorv nupu sinise tausta ja alamlehe enda tausta kontrastsus on 1.5:1.
</t>
  </si>
  <si>
    <t xml:space="preserve">Logi sisse nupu tausta ja alamlehe tausta kontrastsus on 2:1.
Ostukorv nupu sinise tausta ja alamlehe enda tausta kontrastsus on 1.5:1.
Sisestus väljade lahtrite piirjoone ja tausta kontrastsus on 1.5:1.
</t>
  </si>
  <si>
    <t>Logi sisse nupu tausta ja alamlehe tausta kontrastsus on 2:1.
Ostukorv nupu sinise tausta ja alamlehe enda tausta kontrastsus on 1.5:1.
Sisestus väljade lahtrite piirjoone ja tausta kontrastsus on 1.5:1.</t>
  </si>
  <si>
    <t>Logi sisse nupu tausta ja alamlehe tausta kontrastsus on 2:1.
Ostukorv nupu sinise tausta ja alamlehe enda tausta kontrastsus on 1.5:1.
Linkide teksti ja tausta kontrastsus on 4,36:1.</t>
  </si>
  <si>
    <t>Kaupadel on visuaalselt juures sildid, millel puudub alternatiivne tekst.
Toote pakendi ikoonidel puudub kirjeldus.</t>
  </si>
  <si>
    <t>Toote pakendi ikoonidel puudub kirjeldus.</t>
  </si>
  <si>
    <t xml:space="preserve">Vene ja inglise keelses vaates on osad tekstid tõlkimata.
</t>
  </si>
  <si>
    <t>Keele muutmise menüül on puudu nähtav fookus.</t>
  </si>
  <si>
    <t xml:space="preserve">Ostukorvil on korvi ikoon, millel kuvatakse ka korvis olevate toodete kogust. Erkraanilugeriga loetakse ette toodete arv (nt 2), kuid ei täpustata, et tegu on ostukorvis olevate toodete kogusega.
Osadel pakkumistel ei öelda hindade puhul, kas tegu on uue või vana hinnaga.
</t>
  </si>
  <si>
    <t>Ostukorvil on korvi ikoon, millel kuvatakse ka korvis olevate toodete kogust. Erkraanilugeriga loetakse ette toodete arv (nt 2), kuid ei täpustata, et tegu on ostukorvis olevate toodete kogusega.
Paginatsioonise ütleb lehekülje numbritel 1, 2, 3. Täpsustuse mõttes võiks ta öelda: leht 1, leht 2 jne.</t>
  </si>
  <si>
    <t xml:space="preserve">Ostukorvil on korvi ikoon, millel kuvatakse ka korvis olevate toodete kogust. Erkraanilugeriga loetakse ette toodete arv (nt 2), kuid ei täpustata, et tegu on ostukorvis olevate toodete kogusega.
</t>
  </si>
  <si>
    <t>Ostukorvil on korvi ikoon, millel kuvatakse ka korvis olevate toodete kogust. Erkraanilugeriga loetakse ette toodete arv (nt 2), kuid ei täpustata, et tegu on ostukorvis olevate toodete kogusega.
Ülevaates on toodud pakendi ikoon, millel puudub ligipääsetav kirjeldus.</t>
  </si>
  <si>
    <t>Ostukorvil on korvi ikoon, millel kuvatakse ka korvis olevate toodete kogust. Erkraanilugeriga loetakse ette toodete arv (nt 2), kuid ei täpustata, et tegu on ostukorvis olevate toodete kogusega.</t>
  </si>
  <si>
    <r>
      <t xml:space="preserve">Keelevahetuse menüül loetakse Button ET. Puudu on täpsustus, et tegu on keelevahetuse menüüga.
Lehel on kaks suurt menüüd, millel puudub neid eristav kirjeldus.
Lehel puudub </t>
    </r>
    <r>
      <rPr>
        <i/>
        <sz val="11"/>
        <color rgb="FF000000"/>
        <rFont val="Arial"/>
        <family val="2"/>
        <charset val="186"/>
        <scheme val="minor"/>
      </rPr>
      <t>heading1.</t>
    </r>
  </si>
  <si>
    <t xml:space="preserve">Keelevahetuse menüül loetakse Button ET. Puudu on täpsustus, et tegu on keelevahetuse menüüga.
Lehel on kaks suurt menüüd, millel puudub neid eristav kirjeldus.
Suurendades toote kogust või lisades toote ostukorvi, ei anta teada, et kumbagi oleks tehtud 
</t>
  </si>
  <si>
    <t>Keelevahetuse menüül loetakse Button ET. Puudu on täpsustus, et tegu on keelevahetuse menüüga.
Eemaldades toote ostukorvist või vähendades selle kogust, ei anta sellest teada.</t>
  </si>
  <si>
    <r>
      <t>Keelevahetuse menüül loetakse Button ET. Puudu on täpsustus, et tegu on keelevahetuse menüüga.
Vahele on jäänud</t>
    </r>
    <r>
      <rPr>
        <i/>
        <sz val="11"/>
        <color rgb="FF000000"/>
        <rFont val="Arial"/>
        <family val="2"/>
        <charset val="186"/>
        <scheme val="minor"/>
      </rPr>
      <t xml:space="preserve"> heading 2.</t>
    </r>
    <r>
      <rPr>
        <sz val="11"/>
        <color rgb="FF000000"/>
        <rFont val="Arial"/>
        <family val="2"/>
        <charset val="186"/>
        <scheme val="minor"/>
      </rPr>
      <t xml:space="preserve">
Vormiväljad, raadionupud ja märkeruudud ei ole seotud tema sildiga. 
</t>
    </r>
  </si>
  <si>
    <t xml:space="preserve">Keelevahetuse menüül loetakse Button ET. Puudu on täpsustus, et tegu on keelevahetuse menüüga.
</t>
  </si>
  <si>
    <t xml:space="preserve">Keelevahetuse menüül loetakse Button ET. Puudu on täpsustus, et tegu on keelevahetuse menüüga
Alamlehel on tühi h2 tasemega pealkiri.
</t>
  </si>
  <si>
    <t>Keelevahetuse menüül loetakse Button ET. Puudu on täpsustus, et tegu on keelevahetuse menüüga</t>
  </si>
  <si>
    <t>Vigase välja alla tuleb veateade, kuid väli ise ei ole eristatud.</t>
  </si>
  <si>
    <t>Parandamise soovitused puuduvad.</t>
  </si>
  <si>
    <t>Kohustuslike väljade ees on tärn (*), kuid puudub selgitus, mida tärn tähendab.
Lehel on palju erineva kujundusega vorme, edasi liikumiseks peavad kõik kohustuslikud väljad olema täidetud, kuid osade vormide puhul ei ole aru saada, kas nad on kohustuslikud või mitte.</t>
  </si>
  <si>
    <r>
      <t xml:space="preserve">Küpsiste akenas sinise nupu tausta ja valge teksti omavaheline kontrastsus on 1.5:1.
Peamenüü aktiivse menüü punkti sinise tausta ja valge teksti vaheline kontrastsus on 4:1
Hõljudes (hower) hiirega mitteaktiivsel menüül, muutub menüüpunkti taust siniseks ja tekst valgeks. Kontrastsus on 4:1.
Otsingu välja </t>
    </r>
    <r>
      <rPr>
        <i/>
        <sz val="11"/>
        <color rgb="FF000000"/>
        <rFont val="Arial"/>
        <family val="2"/>
        <charset val="186"/>
        <scheme val="minor"/>
      </rPr>
      <t>placeholder</t>
    </r>
    <r>
      <rPr>
        <sz val="11"/>
        <color rgb="FF000000"/>
        <rFont val="Arial"/>
        <family val="2"/>
        <charset val="186"/>
        <scheme val="minor"/>
      </rPr>
      <t xml:space="preserve"> halli teksti ja valge tausta kontrastsus on 3:1.
Ostukorvi halli teksti ja valge tausta vaheline kontrastsus on 2,5:1.
Leivapuru halli teksti ja valge tausta vaheline kontrastsus on 3,5:1.
Toote hinna halli teksti ja valge tausta vaheline kontrastsus on 3.5:1.
Sildi sinise tausta ja valge teksti vaheline kontrastsus on 2.5:1.</t>
    </r>
  </si>
  <si>
    <r>
      <t>Küpsiste akenas sinise nupu tausta ja valge teksti omavaheline kontrastsus on 1.5:1.
Peamenüü aktiivse menüü punkti sinise tausta ja valge teksti vaheline kontrastsus on 4:1
Hõljudes (hower) hiirega mitteaktiivsel menüül, muutub menüüpunkti taust siniseks ja tekst valgeks. Kontrastsus on 4:1.
Otsingu välja</t>
    </r>
    <r>
      <rPr>
        <i/>
        <sz val="11"/>
        <color rgb="FF000000"/>
        <rFont val="Arial"/>
        <family val="2"/>
        <charset val="186"/>
        <scheme val="minor"/>
      </rPr>
      <t xml:space="preserve"> placeholder</t>
    </r>
    <r>
      <rPr>
        <sz val="11"/>
        <color rgb="FF000000"/>
        <rFont val="Arial"/>
        <family val="2"/>
        <charset val="186"/>
        <scheme val="minor"/>
      </rPr>
      <t xml:space="preserve"> halli teksti ja valge tausta kontrastsus on 3:1.
Ostukorvi halli teksti ja valge tausta vaheline kontrastsus on 2,5:1.
Leivapuru halli teksti ja valge tausta vaheline kontrastsus on 3,5:1.
Toote hinna halli teksti ja valge tausta vaheline kontrastsus on 3.5:1.
Sildi sinise tausta ja valge teksti vaheline kontrastsus on 2.5:1.</t>
    </r>
  </si>
  <si>
    <r>
      <t xml:space="preserve">Küpsiste akenas sinise nupu tausta ja valge teksti omavaheline kontrastsus on 1.5:1.
Peamenüü aktiivse menüü punkti sinise tausta ja valge teksti vaheline kontrastsus on 4:1
Hõljudes (hower) hiirega mitteaktiivsel menüül, muutub menüüpunkti taust siniseks ja tekst valgeks. Kontrastsus on 4:1.
Otsingu välja placeholder halli teksti ja valge tausta kontrastsus on 3:1.
Ostukorvi halli teksti ja valge tausta vaheline kontrastsus on 2,5:1.
"Teade" kasti </t>
    </r>
    <r>
      <rPr>
        <i/>
        <sz val="11"/>
        <color rgb="FF000000"/>
        <rFont val="Arial"/>
        <family val="2"/>
        <charset val="186"/>
        <scheme val="minor"/>
      </rPr>
      <t>placeholderi</t>
    </r>
    <r>
      <rPr>
        <sz val="11"/>
        <color rgb="FF000000"/>
        <rFont val="Arial"/>
        <family val="2"/>
        <charset val="186"/>
        <scheme val="minor"/>
      </rPr>
      <t xml:space="preserve"> halli teksti ja valge tausta kontrastsus on 1.5:1.
Nuppude sinise teksti kontrastsus taustaga on 4:1.
Kui ostukorvi satub sildiga toode, siis vana läbikriipsutatud hinna kontrastsus on 3.5:1.</t>
    </r>
  </si>
  <si>
    <t>Küpsiste akenas sinise nupu tausta ja valge teksti omavaheline kontrastsus on 1.5:1.
Peamenüü aktiivse menüü punkti sinise tausta ja valge teksti vaheline kontrastsus on 4:1
Hõljudes (hower) hiirega mitteaktiivsel menüül, muutub menüüpunkti taust siniseks ja tekst valgeks. Kontrastsus on 4:1.
Otsingu välja placeholder halli teksti ja valge tausta kontrastsus on 3:1.
Ostukorvi halli teksti ja valge tausta vaheline kontrastsus on 2,5:1.
Hõljudes (hower) hiirega tagasi nupul on sinise tausta ja valge teksti ontrastsus on 4:1
Ülevaatess on halli teksti ja valge tausta kontrastsus 3.74:1.</t>
  </si>
  <si>
    <r>
      <t>Küpsiste akenas sinise nupu tausta ja valge teksti omavaheline kontrastsus on 1.5:1.
Peamenüü aktiivse menüü punkti sinise tausta ja valge teksti vaheline kontrastsus on 4:1
Hõljudes (hower) hiirega mitteaktiivsel menüül, muutub menüüpunkti taust siniseks ja tekst valgeks. Kontrastsus on 4:1.
Otsingu välja placeholder halli teksti ja valge tausta kontrastsus on 3:1.
Linkide ja tausta vaheline kontrastsus on 4:1, hõljudes hiirega</t>
    </r>
    <r>
      <rPr>
        <i/>
        <sz val="11"/>
        <color rgb="FF000000"/>
        <rFont val="Arial"/>
        <family val="2"/>
        <charset val="186"/>
        <scheme val="minor"/>
      </rPr>
      <t xml:space="preserve"> (hower)</t>
    </r>
    <r>
      <rPr>
        <sz val="11"/>
        <color rgb="FF000000"/>
        <rFont val="Arial"/>
        <family val="2"/>
        <charset val="186"/>
        <scheme val="minor"/>
      </rPr>
      <t xml:space="preserve"> lingil väheneb kontrastsus veelgi.</t>
    </r>
  </si>
  <si>
    <r>
      <t xml:space="preserve">Peamenüü aktiivse menüü punkti sinise tausta ja valge teksti vaheline kontrastsus on 4:1
Hõljudes (hower) hiirega mitteaktiivsel menüül, muutub menüüpunkti taust siniseks ja tekst valgeks. Kontrastsus on 4:1.
Linkide ja tausta vaheline kontrastsus on 4:1, hõljudes hiirega </t>
    </r>
    <r>
      <rPr>
        <i/>
        <sz val="11"/>
        <color rgb="FF000000"/>
        <rFont val="Arial"/>
        <family val="2"/>
        <charset val="186"/>
        <scheme val="minor"/>
      </rPr>
      <t>(hower</t>
    </r>
    <r>
      <rPr>
        <sz val="11"/>
        <color rgb="FF000000"/>
        <rFont val="Arial"/>
        <family val="2"/>
        <charset val="186"/>
        <scheme val="minor"/>
      </rPr>
      <t>) lingil väheneb kontrastsus veelgi.</t>
    </r>
  </si>
  <si>
    <r>
      <t xml:space="preserve">Peamenüü aktiivse menüü punkti sinise tausta ja valge teksti vaheline kontrastsus on 4:1
Hõljudes (hower) hiirega mitteaktiivsel menüül, muutub menüüpunkti taust siniseks ja tekst valgeks. Kontrastsus on 4:1.
Linkide ja tausta vaheline kontrastsus on 4:1, hõljudes hiirega </t>
    </r>
    <r>
      <rPr>
        <i/>
        <sz val="11"/>
        <color rgb="FF000000"/>
        <rFont val="Arial"/>
        <family val="2"/>
        <charset val="186"/>
        <scheme val="minor"/>
      </rPr>
      <t>(hower)</t>
    </r>
    <r>
      <rPr>
        <sz val="11"/>
        <color rgb="FF000000"/>
        <rFont val="Arial"/>
        <family val="2"/>
        <charset val="186"/>
        <scheme val="minor"/>
      </rPr>
      <t xml:space="preserve"> lingil väheneb kontrastsus veelgi.</t>
    </r>
  </si>
  <si>
    <r>
      <t>Küpsiste akenas sinise nupu tausta ja valge teksti omavaheline kontrastsus on 1.5:1.
Peamenüü aktiivse menüü punkti sinise tausta ja valge teksti vaheline kontrastsus on 4:1
Hõljudes (</t>
    </r>
    <r>
      <rPr>
        <i/>
        <sz val="11"/>
        <color rgb="FF000000"/>
        <rFont val="Arial"/>
        <family val="2"/>
        <charset val="186"/>
        <scheme val="minor"/>
      </rPr>
      <t>hower</t>
    </r>
    <r>
      <rPr>
        <sz val="11"/>
        <color rgb="FF000000"/>
        <rFont val="Arial"/>
        <family val="2"/>
        <charset val="186"/>
        <scheme val="minor"/>
      </rPr>
      <t xml:space="preserve">) hiirega mitteaktiivsel menüül, muutub menüüpunkti taust siniseks ja tekst valgeks. Kontrastsus on 4:1.
Otsingu välja </t>
    </r>
    <r>
      <rPr>
        <i/>
        <sz val="11"/>
        <color rgb="FF000000"/>
        <rFont val="Arial"/>
        <family val="2"/>
        <charset val="186"/>
        <scheme val="minor"/>
      </rPr>
      <t>placeholder</t>
    </r>
    <r>
      <rPr>
        <sz val="11"/>
        <color rgb="FF000000"/>
        <rFont val="Arial"/>
        <family val="2"/>
        <charset val="186"/>
        <scheme val="minor"/>
      </rPr>
      <t xml:space="preserve"> halli teksti ja valge tausta kontrastsus on 3:1.
Ostukorvi halli teksti ja valge tausta vaheline kontrastsus on 2,5:1.</t>
    </r>
  </si>
  <si>
    <r>
      <t>Vormidel on puudu</t>
    </r>
    <r>
      <rPr>
        <i/>
        <sz val="11"/>
        <color rgb="FF000000"/>
        <rFont val="Arial"/>
        <family val="2"/>
        <charset val="186"/>
        <scheme val="minor"/>
      </rPr>
      <t xml:space="preserve"> autocomplete</t>
    </r>
    <r>
      <rPr>
        <sz val="11"/>
        <color rgb="FF000000"/>
        <rFont val="Arial"/>
        <family val="2"/>
        <charset val="186"/>
        <scheme val="minor"/>
      </rPr>
      <t xml:space="preserve"> atribuut.</t>
    </r>
  </si>
  <si>
    <t>Klaviatuuri fookus ei liigu nupust avanevale keskkonda logimist võimaldavale aknale, vaid jääb taustal liikuma. Ei saanud ka peale tausta lehe läbimist fookust sisselogmise aknale. Sama olukord on ka ekraanilugeri kasutamisel.
Liikudes fookusega otsingule, avaneb automaatselt otsingu soovitused, mida vahele jätta ei ole võimalik.
Jaluses jätab vahele partnerite logod.</t>
  </si>
  <si>
    <t>Klaviatuuri fookus ei liigu nupust avanevale keskkonda logimist võimaldavale aknale, vaid jääb taustal liikuma. Ei saanud ka peale tausta lehe läbimist fookust sisselogmise aknale. Sama olukord on ka ekraanilugeri kasutamisel.
Liikudes fookusega otsingule, avaneb automaatselt otsingu soovitused, mida vahele jätta ei ole võimalik.
Jaluses jätab vahele partnerite logod.
Fookus ei liigu sorteerimise valikule.</t>
  </si>
  <si>
    <t>Klaviatuuri fookus ei liigu nupust avanevale keskkonda logimist võimaldavale aknale, vaid jääb taustal liikuma. Ei saanud ka peale tausta lehe läbimist fookust sisselogmise aknale. Sama olukord on ka ekraanilugeri kasutamisel.
Liikudes fookusega otsingule, avaneb automaatselt otsingu soovitused mida, vahele jätta ei ole võimalik.
Jaluses jätab vahele partnerite logod.</t>
  </si>
  <si>
    <t>Klaviatuuri fookus ei liigu nupust avanevale keskkonda logimist võimaldavale aknale, vaid jääb taustal liikuma. Ei saanud ka peale tausta lehe läbimist fookust sisselogmise aknale. Sama olukord on ka ekraanilugeri kasutamisel.
Liikudes fookusega otsingule, avaneb automaatselt otsingu soovitused, mida vahele jätta ei ole võimalik
Fookus ei liigu aja väljale avanevale aknale, aega ei ole võimalik ka sisetusväljale trükkida.
Jaluses jätab vahele partnerite logod.</t>
  </si>
  <si>
    <t>Klaviatuuri fookus ei liigu nupust avanevale keskkonda logimist võimaldavale aknale, vaid jääb taustal liikuma. Ei saanud ka peale tausta lehe läbimist fookust sisselogmise aknale. Sama olukord on ka ekraanilugeri kasutamisel.
Liikudes fookusega otsingule, avaneb automaatselt otsingu soovitused, mida vahele jätta ei ole võimalik
Jaluses jätab vahele partnerite logod.</t>
  </si>
  <si>
    <t>Klaviatuuri fookus ei liigu nupust avanevale keskkonda logimist võimaldavale aknale, vaid jääb taustal liikuma. Ei saanud ka peale tausta lehe läbimist fookust sisselogmise aknale. Sama olukord on ka ekraanilugeri kasutamisel.
Liikudes fookusega otsingule, avaneb automaatselt otsingu soovitused mida, vahele jätta ei ole võimalik
Jaluses jätab vahele partnerite logod.</t>
  </si>
  <si>
    <t xml:space="preserve">Peale sisse logimise nuppu liigub fookus korraks jalusesse.
</t>
  </si>
  <si>
    <t xml:space="preserve">Keele muutmise menüül on puudu nähtav fookus.
Osadel ikoonidel puudub nähtav fookus.
Nähtav fookus on puudu või on halvasti eristatv osadel reklaamidel. </t>
  </si>
  <si>
    <t>Keele muutmise menüül on puudu nähtav fookus.
Osadel ikoonidel puudub nähtav fookus.
Lisa ostukorvi nupul puudub nähtav fookus.</t>
  </si>
  <si>
    <t>Keele muutmise menüül on puudu nähtav fookus.
Osadel ikoonidel puudub nähtav fookus.</t>
  </si>
  <si>
    <t>Keele muutmise menüül on puudu nähtav fookus.
Osadel ikoonidel puudub nähtav fookus.
Puudu märkeruutudel ja raadio nuppudel.</t>
  </si>
  <si>
    <r>
      <t>Keelevahetuse menüül loetakse Button ET. Puudu on täpsustus, et tegu on keelevahetuse menüüga.
Lehel on kaks suurt menüüd, millel puudub neid eristav kirjeldus. 
Suurendades toote kogust või lisades toote ostukorvi, ei anta teada, et kumbagi oleks tehtud.
Lehel on puudu h2 (</t>
    </r>
    <r>
      <rPr>
        <i/>
        <sz val="11"/>
        <color rgb="FF000000"/>
        <rFont val="Arial"/>
        <family val="2"/>
        <charset val="186"/>
        <scheme val="minor"/>
      </rPr>
      <t>heading 2</t>
    </r>
    <r>
      <rPr>
        <sz val="11"/>
        <color rgb="FF000000"/>
        <rFont val="Arial"/>
        <family val="2"/>
        <charset val="186"/>
        <scheme val="minor"/>
      </rPr>
      <t>).
Paginatsioonil ei ütle, mitmendal lehel kasutaja hetkel on.</t>
    </r>
  </si>
  <si>
    <t>Toode</t>
  </si>
  <si>
    <t>Lehe päist ei ole võimalik vahele jätta.</t>
  </si>
  <si>
    <r>
      <t xml:space="preserve">Menüüdele puudub oleku teave. Ei ütle, milline menüüpunkt on hetkel aktiivne.
Menüüpunktil ei ütle, kas alamenüü on avatud või suletud </t>
    </r>
    <r>
      <rPr>
        <i/>
        <sz val="11"/>
        <color rgb="FF000000"/>
        <rFont val="Arial"/>
        <family val="2"/>
        <charset val="186"/>
        <scheme val="minor"/>
      </rPr>
      <t>(collapsed/expanded)</t>
    </r>
    <r>
      <rPr>
        <sz val="11"/>
        <color rgb="FF000000"/>
        <rFont val="Arial"/>
        <family val="2"/>
        <charset val="186"/>
        <scheme val="minor"/>
      </rPr>
      <t xml:space="preserve"> olekus.
</t>
    </r>
  </si>
  <si>
    <r>
      <t xml:space="preserve">Menüüdele puudub oleku teave. Ei ütle, milline menüüpunkt on hetkel aktiivne.
Menüüpunktil ei ütle, kas alamenüü on avatud või suletud </t>
    </r>
    <r>
      <rPr>
        <i/>
        <sz val="11"/>
        <color rgb="FF000000"/>
        <rFont val="Arial"/>
        <family val="2"/>
        <charset val="186"/>
        <scheme val="minor"/>
      </rPr>
      <t>(collapsed/expanded)</t>
    </r>
    <r>
      <rPr>
        <sz val="11"/>
        <color rgb="FF000000"/>
        <rFont val="Arial"/>
        <family val="2"/>
        <charset val="186"/>
        <scheme val="minor"/>
      </rPr>
      <t xml:space="preserve"> olekus.
Märkeruududel ei ütle, kas märkeruut on märgistatud või mitte.</t>
    </r>
  </si>
  <si>
    <r>
      <t xml:space="preserve">Menüüdele puudub oleku teave. Ei ütle, milline menüüpunkt on hetkel aktiivne. Menüüpunktil ei ütle, kas alamenüü on avatud või suletud (collapsed/expanded) olekus.
Akordioni menüüdel puudub olekuteave suletud/avatud </t>
    </r>
    <r>
      <rPr>
        <i/>
        <sz val="11"/>
        <color rgb="FF000000"/>
        <rFont val="Arial"/>
        <family val="2"/>
        <charset val="186"/>
        <scheme val="minor"/>
      </rPr>
      <t>(collapsed/expanded).</t>
    </r>
    <r>
      <rPr>
        <sz val="11"/>
        <color rgb="FF000000"/>
        <rFont val="Arial"/>
        <family val="2"/>
        <charset val="186"/>
        <scheme val="minor"/>
      </rPr>
      <t xml:space="preserve"> </t>
    </r>
  </si>
  <si>
    <t>Menüüdele puudub oleku teave. Ei ütle, milline menüüpunkt on hetkel aktiivne.
Menüüpunktil ei ütle, kas alamenüü on avatud või suletud (collapsed/expanded) olekus.</t>
  </si>
  <si>
    <t>Menüüdele puudub oleku teave. Ei ütle, milline menüüpunkt on hetkel aktiivne.
Menüüpunktil ei ütle, kas alamenüü on avatud või suletud (collapsed/expanded) olekus.s.</t>
  </si>
  <si>
    <t xml:space="preserve">Otsingu tulemustes ei anna teada, palju tulemusi antud otsinguga tuli. </t>
  </si>
  <si>
    <t>Otsingu tulemustes ei anna teada, palju tulemusi antud otsinguga tuli. 
Rakendades filtris valiku, ei ütle automaatselt, mitu tulemust valikusse jäi.</t>
  </si>
  <si>
    <t>Otsingu tulemustes ei anna teada, palju tulemusi antud otsinguga tuli. 
Eemaldades toote ostukorvist, ei ütle, et toode eemaldati.
Suurendades või vähendades kogust ostukorvis, ei öelda, et seda tehit ja mitu eset korvi jäi.</t>
  </si>
  <si>
    <t>Juhend</t>
  </si>
  <si>
    <r>
      <t xml:space="preserve">Valides veebilehitseja sätetest suurema teksti (näiteks edge </t>
    </r>
    <r>
      <rPr>
        <i/>
        <sz val="11"/>
        <color rgb="FF000000"/>
        <rFont val="Arial"/>
        <family val="2"/>
        <charset val="186"/>
        <scheme val="minor"/>
      </rPr>
      <t>large text</t>
    </r>
    <r>
      <rPr>
        <sz val="11"/>
        <color rgb="FF000000"/>
        <rFont val="Arial"/>
        <family val="2"/>
        <charset val="186"/>
        <scheme val="minor"/>
      </rPr>
      <t xml:space="preserve">) ei muutu alamlehel tekst suuremaks.
Rakendades kõrgkontrastse vaate Windowsi op. süsteemi sätetes ei muutu osad tekstid ja ikoonid kõrgkontrasteks.
</t>
    </r>
  </si>
  <si>
    <r>
      <t>Valides veebilehitseja sätetest suurema teksti (näiteks edge</t>
    </r>
    <r>
      <rPr>
        <i/>
        <sz val="11"/>
        <color rgb="FF000000"/>
        <rFont val="Arial"/>
        <family val="2"/>
        <charset val="186"/>
        <scheme val="minor"/>
      </rPr>
      <t xml:space="preserve"> large text</t>
    </r>
    <r>
      <rPr>
        <sz val="11"/>
        <color rgb="FF000000"/>
        <rFont val="Arial"/>
        <family val="2"/>
        <charset val="186"/>
        <scheme val="minor"/>
      </rPr>
      <t>) ei muutu alamlehel tekst suuremaks.
Rakendades kõrgkontrastse vaate Windowsi op. süsteemi sätetes ei muutu osad tekstid ja ikoonid kõrgkontrasteks.</t>
    </r>
  </si>
  <si>
    <r>
      <t xml:space="preserve">Valides veebilehitseja sätetest suurema teksti (näiteks edge </t>
    </r>
    <r>
      <rPr>
        <i/>
        <sz val="11"/>
        <color rgb="FF000000"/>
        <rFont val="Arial"/>
        <family val="2"/>
        <charset val="186"/>
        <scheme val="minor"/>
      </rPr>
      <t>large text</t>
    </r>
    <r>
      <rPr>
        <sz val="11"/>
        <color rgb="FF000000"/>
        <rFont val="Arial"/>
        <family val="2"/>
        <charset val="186"/>
        <scheme val="minor"/>
      </rPr>
      <t>) ei muutu alamlehel tekst suuremaks.
Rakendades kõrgkontrastse vaate Windowsi op. süsteemi sätetes ei muutu osad tekstid ja ikoonid kõrgkontrasteks.</t>
    </r>
  </si>
  <si>
    <r>
      <t xml:space="preserve">Valides veebilehitseja sätetest suurema teksti (näiteks edge </t>
    </r>
    <r>
      <rPr>
        <i/>
        <sz val="11"/>
        <color rgb="FF000000"/>
        <rFont val="Arial"/>
        <family val="2"/>
        <charset val="186"/>
        <scheme val="minor"/>
      </rPr>
      <t>large text</t>
    </r>
    <r>
      <rPr>
        <sz val="11"/>
        <color rgb="FF000000"/>
        <rFont val="Arial"/>
        <family val="2"/>
        <charset val="186"/>
        <scheme val="minor"/>
      </rPr>
      <t xml:space="preserve">) ei muutu alamlehel tekst suuremaks.
Rakendades kõrgkontrastse vaate Windowsi op. süsteemi sätetes ei muutu osad tekstid ja ikoonid kõrgkontrasteks. Märkeruutudel kaob oleku eristus.
</t>
    </r>
  </si>
  <si>
    <r>
      <t xml:space="preserve">Valides veebilehitseja sätetest suurema teksti (näiteks edge </t>
    </r>
    <r>
      <rPr>
        <i/>
        <sz val="11"/>
        <color rgb="FF000000"/>
        <rFont val="Arial"/>
        <family val="2"/>
        <charset val="186"/>
        <scheme val="minor"/>
      </rPr>
      <t>large text)</t>
    </r>
    <r>
      <rPr>
        <sz val="11"/>
        <color rgb="FF000000"/>
        <rFont val="Arial"/>
        <family val="2"/>
        <charset val="186"/>
        <scheme val="minor"/>
      </rPr>
      <t xml:space="preserve"> ei muutu alamlehel tekst suuremaks.
Rakendades kõrgkontrastse vaate Windowsi op. süsteemi sätetes ei muutu osad tekstid ja ikoonid kõrgkontrasteks.</t>
    </r>
  </si>
  <si>
    <r>
      <t>Jaluses on lingina telefoni number 600 0000 ja e-mail abi@test.ee, mis ei ole aga ümbritsevast tekstist eristatavad.
Küpsiste aknas on nõusoleku valikutel kasutusel lüliti (</t>
    </r>
    <r>
      <rPr>
        <i/>
        <sz val="11"/>
        <color rgb="FF000000"/>
        <rFont val="Arial"/>
        <family val="2"/>
        <charset val="186"/>
        <scheme val="minor"/>
      </rPr>
      <t>switch</t>
    </r>
    <r>
      <rPr>
        <sz val="11"/>
        <color rgb="FF000000"/>
        <rFont val="Arial"/>
        <family val="2"/>
        <charset val="186"/>
        <scheme val="minor"/>
      </rPr>
      <t>) nupud. Olekut näitab nupu sees olev mummuke. Teine olekutunnus puudub.</t>
    </r>
  </si>
  <si>
    <r>
      <t>Jaluses on lingina telefoni number 600 0000 ja e-mail abi@test.ee, mis ei ole aga ümbritsevast tekstist eristatavad.
Küpsiste aknas on nõusoleku valikutel kasutusel lüliti (</t>
    </r>
    <r>
      <rPr>
        <i/>
        <sz val="11"/>
        <color rgb="FF000000"/>
        <rFont val="Arial"/>
        <family val="2"/>
        <charset val="186"/>
        <scheme val="minor"/>
      </rPr>
      <t>switch</t>
    </r>
    <r>
      <rPr>
        <sz val="11"/>
        <color rgb="FF000000"/>
        <rFont val="Arial"/>
        <family val="2"/>
        <charset val="186"/>
        <scheme val="minor"/>
      </rPr>
      <t xml:space="preserve">) nupud. Olekut näitab nupu sees olev mummuke. Teine olekutunnus puudub.
</t>
    </r>
  </si>
  <si>
    <t>Avalehel on reklaamid pildina, millel puudub alternatiivne kirjeldus. Enamikel juhtudel loetakse ette pildi url või ühesõnaline kirjeldus, kuid ei öelda, mis pakkumisega on tegu.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</si>
</sst>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2" x14ac:knownFonts="1">
    <font>
      <sz val="10"/>
      <color rgb="FF000000"/>
      <name val="Arial"/>
    </font>
    <font>
      <sz val="11"/>
      <color theme="1"/>
      <name val="Arial"/>
      <family val="2"/>
      <charset val="186"/>
      <scheme val="minor"/>
    </font>
    <font>
      <sz val="11"/>
      <color theme="1"/>
      <name val="Arial"/>
      <family val="2"/>
      <charset val="186"/>
      <scheme val="minor"/>
    </font>
    <font>
      <sz val="10"/>
      <name val="Arial"/>
      <family val="2"/>
      <charset val="186"/>
    </font>
    <font>
      <sz val="10"/>
      <color rgb="FF000000"/>
      <name val="Arial"/>
      <family val="2"/>
      <charset val="186"/>
    </font>
    <font>
      <b/>
      <sz val="11"/>
      <color theme="1"/>
      <name val="Arial"/>
      <family val="2"/>
      <charset val="186"/>
      <scheme val="minor"/>
    </font>
    <font>
      <b/>
      <sz val="11"/>
      <name val="Arial"/>
      <family val="2"/>
      <charset val="186"/>
      <scheme val="minor"/>
    </font>
    <font>
      <sz val="11"/>
      <name val="Arial"/>
      <family val="2"/>
      <charset val="186"/>
      <scheme val="minor"/>
    </font>
    <font>
      <i/>
      <sz val="11"/>
      <name val="Arial"/>
      <family val="2"/>
      <charset val="186"/>
      <scheme val="minor"/>
    </font>
    <font>
      <sz val="10"/>
      <color rgb="FF000000"/>
      <name val="Arial"/>
      <family val="2"/>
      <charset val="186"/>
      <scheme val="minor"/>
    </font>
    <font>
      <b/>
      <sz val="14"/>
      <name val="Arial"/>
      <family val="2"/>
      <charset val="186"/>
      <scheme val="minor"/>
    </font>
    <font>
      <b/>
      <sz val="10"/>
      <name val="Arial"/>
      <family val="2"/>
      <charset val="186"/>
      <scheme val="minor"/>
    </font>
    <font>
      <sz val="10"/>
      <name val="Arial"/>
      <family val="2"/>
      <charset val="186"/>
      <scheme val="minor"/>
    </font>
    <font>
      <sz val="11"/>
      <color rgb="FF000000"/>
      <name val="Arial"/>
      <family val="2"/>
      <charset val="186"/>
      <scheme val="minor"/>
    </font>
    <font>
      <sz val="8"/>
      <name val="Arial"/>
      <family val="2"/>
      <charset val="186"/>
    </font>
    <font>
      <b/>
      <sz val="10"/>
      <color rgb="FF000000"/>
      <name val="Arial"/>
      <family val="2"/>
      <charset val="186"/>
    </font>
    <font>
      <b/>
      <sz val="10"/>
      <color theme="1"/>
      <name val="Arial"/>
      <family val="2"/>
      <charset val="186"/>
      <scheme val="minor"/>
    </font>
    <font>
      <b/>
      <sz val="12"/>
      <color theme="1"/>
      <name val="Arial"/>
      <family val="2"/>
      <charset val="186"/>
      <scheme val="minor"/>
    </font>
    <font>
      <b/>
      <i/>
      <sz val="11"/>
      <name val="Arial"/>
      <family val="2"/>
      <charset val="186"/>
      <scheme val="minor"/>
    </font>
    <font>
      <b/>
      <sz val="12"/>
      <name val="Arial"/>
      <family val="2"/>
      <charset val="186"/>
      <scheme val="minor"/>
    </font>
    <font>
      <b/>
      <sz val="11"/>
      <color rgb="FF000000"/>
      <name val="Arial"/>
      <family val="2"/>
      <charset val="186"/>
      <scheme val="major"/>
    </font>
    <font>
      <b/>
      <sz val="10"/>
      <color rgb="FF000000"/>
      <name val="Arial"/>
      <family val="2"/>
      <charset val="186"/>
      <scheme val="minor"/>
    </font>
    <font>
      <u/>
      <sz val="10"/>
      <color theme="10"/>
      <name val="Arial"/>
      <family val="2"/>
      <charset val="186"/>
    </font>
    <font>
      <b/>
      <sz val="11"/>
      <color rgb="FF000000"/>
      <name val="Arial"/>
      <family val="2"/>
      <charset val="186"/>
    </font>
    <font>
      <i/>
      <sz val="11"/>
      <color rgb="FF000000"/>
      <name val="Arial"/>
      <family val="2"/>
      <charset val="186"/>
      <scheme val="minor"/>
    </font>
    <font>
      <sz val="8"/>
      <name val="Arial"/>
    </font>
    <font>
      <b/>
      <sz val="10"/>
      <color rgb="FFFF0000"/>
      <name val="Arial"/>
      <family val="2"/>
      <charset val="186"/>
      <scheme val="minor"/>
    </font>
    <font>
      <b/>
      <sz val="10"/>
      <color rgb="FFFF0000"/>
      <name val="Arial"/>
      <family val="2"/>
      <charset val="186"/>
    </font>
    <font>
      <b/>
      <i/>
      <sz val="10"/>
      <color theme="1"/>
      <name val="Arial"/>
      <family val="2"/>
      <charset val="186"/>
      <scheme val="minor"/>
    </font>
    <font>
      <b/>
      <u/>
      <sz val="10"/>
      <color theme="1"/>
      <name val="Arial"/>
      <family val="2"/>
      <charset val="186"/>
      <scheme val="minor"/>
    </font>
    <font>
      <b/>
      <sz val="12"/>
      <color rgb="FF000000"/>
      <name val="Arial"/>
      <family val="2"/>
      <charset val="186"/>
    </font>
    <font>
      <i/>
      <sz val="10"/>
      <color rgb="FF000000"/>
      <name val="Arial"/>
      <family val="2"/>
      <charset val="186"/>
    </font>
  </fonts>
  <fills count="9">
    <fill>
      <patternFill patternType="none"/>
    </fill>
    <fill>
      <patternFill patternType="gray125"/>
    </fill>
    <fill>
      <patternFill patternType="solid">
        <fgColor theme="2"/>
        <bgColor indexed="64"/>
      </patternFill>
    </fill>
    <fill>
      <patternFill patternType="solid">
        <fgColor theme="4" tint="0.79998168889431442"/>
        <bgColor indexed="64"/>
      </patternFill>
    </fill>
    <fill>
      <patternFill patternType="solid">
        <fgColor theme="6" tint="0.79998168889431442"/>
        <bgColor indexed="64"/>
      </patternFill>
    </fill>
    <fill>
      <patternFill patternType="solid">
        <fgColor theme="5" tint="0.79998168889431442"/>
        <bgColor indexed="64"/>
      </patternFill>
    </fill>
    <fill>
      <patternFill patternType="solid">
        <fgColor theme="0"/>
        <bgColor indexed="64"/>
      </patternFill>
    </fill>
    <fill>
      <patternFill patternType="solid">
        <fgColor theme="7" tint="0.79998168889431442"/>
        <bgColor indexed="64"/>
      </patternFill>
    </fill>
    <fill>
      <patternFill patternType="solid">
        <fgColor theme="4" tint="0.59999389629810485"/>
        <bgColor indexed="64"/>
      </patternFill>
    </fill>
  </fills>
  <borders count="2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bottom style="thin">
        <color indexed="64"/>
      </bottom>
      <diagonal/>
    </border>
    <border>
      <left/>
      <right/>
      <top/>
      <bottom style="double">
        <color indexed="64"/>
      </bottom>
      <diagonal/>
    </border>
    <border>
      <left style="thin">
        <color indexed="64"/>
      </left>
      <right style="thin">
        <color indexed="64"/>
      </right>
      <top style="thin">
        <color indexed="64"/>
      </top>
      <bottom style="double">
        <color indexed="64"/>
      </bottom>
      <diagonal/>
    </border>
    <border>
      <left style="thin">
        <color indexed="64"/>
      </left>
      <right/>
      <top style="double">
        <color indexed="64"/>
      </top>
      <bottom/>
      <diagonal/>
    </border>
    <border>
      <left/>
      <right style="thin">
        <color indexed="64"/>
      </right>
      <top style="double">
        <color indexed="64"/>
      </top>
      <bottom/>
      <diagonal/>
    </border>
    <border>
      <left/>
      <right/>
      <top style="double">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6">
    <xf numFmtId="0" fontId="0" fillId="0" borderId="0"/>
    <xf numFmtId="9" fontId="4" fillId="0" borderId="0" applyFont="0" applyFill="0" applyBorder="0" applyAlignment="0" applyProtection="0"/>
    <xf numFmtId="0" fontId="2" fillId="0" borderId="0"/>
    <xf numFmtId="0" fontId="22" fillId="0" borderId="0" applyNumberFormat="0" applyFill="0" applyBorder="0" applyAlignment="0" applyProtection="0"/>
    <xf numFmtId="0" fontId="4" fillId="0" borderId="0"/>
    <xf numFmtId="0" fontId="1" fillId="0" borderId="0"/>
  </cellStyleXfs>
  <cellXfs count="173">
    <xf numFmtId="0" fontId="0" fillId="0" borderId="0" xfId="0"/>
    <xf numFmtId="0" fontId="0" fillId="0" borderId="0" xfId="0" applyAlignment="1">
      <alignment wrapText="1"/>
    </xf>
    <xf numFmtId="0" fontId="6" fillId="3" borderId="1" xfId="0" applyFont="1" applyFill="1" applyBorder="1" applyAlignment="1">
      <alignment horizontal="left" vertical="top" wrapText="1"/>
    </xf>
    <xf numFmtId="0" fontId="7" fillId="0" borderId="1" xfId="0" applyFont="1" applyBorder="1" applyAlignment="1">
      <alignment horizontal="left" vertical="top" wrapText="1"/>
    </xf>
    <xf numFmtId="0" fontId="9" fillId="0" borderId="0" xfId="0" applyFont="1" applyAlignment="1">
      <alignment horizontal="left" vertical="top"/>
    </xf>
    <xf numFmtId="0" fontId="12" fillId="0" borderId="0" xfId="0" applyFont="1" applyAlignment="1">
      <alignment horizontal="left" vertical="top"/>
    </xf>
    <xf numFmtId="0" fontId="9" fillId="0" borderId="0" xfId="0" applyFont="1"/>
    <xf numFmtId="0" fontId="13" fillId="3" borderId="1" xfId="0" applyFont="1" applyFill="1" applyBorder="1" applyAlignment="1">
      <alignment horizontal="left" vertical="top" wrapText="1"/>
    </xf>
    <xf numFmtId="0" fontId="13" fillId="0" borderId="1" xfId="0" applyFont="1" applyBorder="1" applyAlignment="1">
      <alignment horizontal="left" vertical="top" wrapText="1"/>
    </xf>
    <xf numFmtId="49" fontId="13" fillId="0" borderId="1" xfId="0" applyNumberFormat="1" applyFont="1" applyBorder="1" applyAlignment="1">
      <alignment horizontal="left" vertical="top" wrapText="1"/>
    </xf>
    <xf numFmtId="1" fontId="12" fillId="0" borderId="1" xfId="0" applyNumberFormat="1" applyFont="1" applyBorder="1" applyAlignment="1">
      <alignment horizontal="center" vertical="top" wrapText="1"/>
    </xf>
    <xf numFmtId="0" fontId="0" fillId="0" borderId="0" xfId="0" applyAlignment="1">
      <alignment horizontal="center"/>
    </xf>
    <xf numFmtId="1" fontId="11" fillId="3" borderId="13" xfId="0" applyNumberFormat="1" applyFont="1" applyFill="1" applyBorder="1" applyAlignment="1">
      <alignment horizontal="center" vertical="top" wrapText="1"/>
    </xf>
    <xf numFmtId="1" fontId="12" fillId="0" borderId="13" xfId="0" applyNumberFormat="1" applyFont="1" applyBorder="1" applyAlignment="1">
      <alignment horizontal="center" vertical="top" wrapText="1"/>
    </xf>
    <xf numFmtId="9" fontId="12" fillId="3" borderId="13" xfId="1" applyFont="1" applyFill="1" applyBorder="1" applyAlignment="1">
      <alignment horizontal="center" vertical="top"/>
    </xf>
    <xf numFmtId="0" fontId="11" fillId="3" borderId="15" xfId="0" applyFont="1" applyFill="1" applyBorder="1" applyAlignment="1">
      <alignment horizontal="center" vertical="top" wrapText="1"/>
    </xf>
    <xf numFmtId="0" fontId="0" fillId="0" borderId="14" xfId="0" applyBorder="1"/>
    <xf numFmtId="0" fontId="9" fillId="0" borderId="0" xfId="0" applyFont="1" applyAlignment="1">
      <alignment vertical="top"/>
    </xf>
    <xf numFmtId="0" fontId="20" fillId="0" borderId="0" xfId="0" applyFont="1" applyAlignment="1">
      <alignment horizontal="left" vertical="top"/>
    </xf>
    <xf numFmtId="0" fontId="20" fillId="3" borderId="1" xfId="0" applyFont="1" applyFill="1" applyBorder="1" applyAlignment="1">
      <alignment horizontal="left" vertical="top" wrapText="1"/>
    </xf>
    <xf numFmtId="0" fontId="20" fillId="3" borderId="1" xfId="0" applyFont="1" applyFill="1" applyBorder="1" applyAlignment="1">
      <alignment horizontal="left" vertical="top"/>
    </xf>
    <xf numFmtId="0" fontId="0" fillId="3" borderId="1" xfId="0" applyFill="1" applyBorder="1"/>
    <xf numFmtId="0" fontId="7" fillId="3" borderId="1" xfId="0" applyFont="1" applyFill="1" applyBorder="1" applyAlignment="1">
      <alignment horizontal="left" vertical="top" wrapText="1"/>
    </xf>
    <xf numFmtId="10" fontId="11" fillId="3" borderId="13" xfId="1" applyNumberFormat="1" applyFont="1" applyFill="1" applyBorder="1" applyAlignment="1">
      <alignment horizontal="center" vertical="top"/>
    </xf>
    <xf numFmtId="0" fontId="13" fillId="5" borderId="1" xfId="0" applyFont="1" applyFill="1" applyBorder="1" applyAlignment="1">
      <alignment horizontal="left" vertical="top" wrapText="1"/>
    </xf>
    <xf numFmtId="0" fontId="7" fillId="6" borderId="1" xfId="0" applyFont="1" applyFill="1" applyBorder="1" applyAlignment="1">
      <alignment horizontal="left" vertical="top" wrapText="1"/>
    </xf>
    <xf numFmtId="0" fontId="5" fillId="3" borderId="1" xfId="0" applyFont="1" applyFill="1" applyBorder="1" applyAlignment="1">
      <alignment horizontal="left" vertical="top" wrapText="1"/>
    </xf>
    <xf numFmtId="0" fontId="13" fillId="6" borderId="1" xfId="0" applyFont="1" applyFill="1" applyBorder="1" applyAlignment="1">
      <alignment horizontal="left" vertical="top" wrapText="1"/>
    </xf>
    <xf numFmtId="0" fontId="0" fillId="3" borderId="0" xfId="0" applyFill="1"/>
    <xf numFmtId="0" fontId="13" fillId="7" borderId="1" xfId="0" applyFont="1" applyFill="1" applyBorder="1" applyAlignment="1">
      <alignment horizontal="left" vertical="top" wrapText="1"/>
    </xf>
    <xf numFmtId="0" fontId="0" fillId="6" borderId="0" xfId="0" applyFill="1"/>
    <xf numFmtId="0" fontId="4" fillId="0" borderId="0" xfId="0" applyFont="1"/>
    <xf numFmtId="0" fontId="13" fillId="2" borderId="1" xfId="0" applyFont="1" applyFill="1" applyBorder="1" applyAlignment="1">
      <alignment horizontal="left" vertical="top" wrapText="1"/>
    </xf>
    <xf numFmtId="49" fontId="13" fillId="3" borderId="1" xfId="0" applyNumberFormat="1" applyFont="1" applyFill="1" applyBorder="1" applyAlignment="1">
      <alignment horizontal="left" vertical="top" wrapText="1"/>
    </xf>
    <xf numFmtId="0" fontId="6" fillId="8" borderId="1" xfId="0" applyFont="1" applyFill="1" applyBorder="1" applyAlignment="1">
      <alignment horizontal="left" vertical="top" wrapText="1"/>
    </xf>
    <xf numFmtId="0" fontId="13" fillId="8" borderId="1" xfId="0" applyFont="1" applyFill="1" applyBorder="1" applyAlignment="1">
      <alignment horizontal="left" vertical="top" wrapText="1"/>
    </xf>
    <xf numFmtId="0" fontId="13" fillId="5" borderId="20" xfId="0" applyFont="1" applyFill="1" applyBorder="1" applyAlignment="1">
      <alignment horizontal="left" vertical="top" wrapText="1"/>
    </xf>
    <xf numFmtId="0" fontId="30" fillId="3" borderId="1" xfId="0" applyFont="1" applyFill="1" applyBorder="1" applyAlignment="1">
      <alignment horizontal="center" wrapText="1"/>
    </xf>
    <xf numFmtId="0" fontId="4" fillId="3" borderId="2" xfId="0" applyFont="1" applyFill="1" applyBorder="1" applyAlignment="1">
      <alignment horizontal="left" wrapText="1"/>
    </xf>
    <xf numFmtId="0" fontId="4" fillId="3" borderId="3" xfId="0" applyFont="1" applyFill="1" applyBorder="1" applyAlignment="1">
      <alignment horizontal="left" wrapText="1"/>
    </xf>
    <xf numFmtId="0" fontId="4" fillId="3" borderId="4" xfId="0" applyFont="1" applyFill="1" applyBorder="1" applyAlignment="1">
      <alignment horizontal="left" wrapText="1"/>
    </xf>
    <xf numFmtId="0" fontId="4" fillId="3" borderId="11" xfId="0" applyFont="1" applyFill="1" applyBorder="1" applyAlignment="1">
      <alignment horizontal="left" wrapText="1"/>
    </xf>
    <xf numFmtId="0" fontId="4" fillId="3" borderId="0" xfId="0" applyFont="1" applyFill="1" applyAlignment="1">
      <alignment horizontal="left" wrapText="1"/>
    </xf>
    <xf numFmtId="0" fontId="4" fillId="3" borderId="12" xfId="0" applyFont="1" applyFill="1" applyBorder="1" applyAlignment="1">
      <alignment horizontal="left" wrapText="1"/>
    </xf>
    <xf numFmtId="0" fontId="4" fillId="3" borderId="5" xfId="0" applyFont="1" applyFill="1" applyBorder="1" applyAlignment="1">
      <alignment horizontal="left"/>
    </xf>
    <xf numFmtId="0" fontId="4" fillId="3" borderId="6" xfId="0" applyFont="1" applyFill="1" applyBorder="1" applyAlignment="1">
      <alignment horizontal="left"/>
    </xf>
    <xf numFmtId="0" fontId="4" fillId="3" borderId="7" xfId="0" applyFont="1" applyFill="1" applyBorder="1" applyAlignment="1">
      <alignment horizontal="left"/>
    </xf>
    <xf numFmtId="0" fontId="11" fillId="3" borderId="2" xfId="0" applyFont="1" applyFill="1" applyBorder="1" applyAlignment="1">
      <alignment horizontal="left" vertical="top" wrapText="1"/>
    </xf>
    <xf numFmtId="0" fontId="11" fillId="3" borderId="3" xfId="0" applyFont="1" applyFill="1" applyBorder="1" applyAlignment="1">
      <alignment horizontal="left" vertical="top" wrapText="1"/>
    </xf>
    <xf numFmtId="0" fontId="11" fillId="3" borderId="4" xfId="0" applyFont="1" applyFill="1" applyBorder="1" applyAlignment="1">
      <alignment horizontal="left" vertical="top" wrapText="1"/>
    </xf>
    <xf numFmtId="0" fontId="11" fillId="3" borderId="11" xfId="0" applyFont="1" applyFill="1" applyBorder="1" applyAlignment="1">
      <alignment horizontal="left" vertical="top" wrapText="1"/>
    </xf>
    <xf numFmtId="0" fontId="11" fillId="3" borderId="0" xfId="0" applyFont="1" applyFill="1" applyAlignment="1">
      <alignment horizontal="left" vertical="top" wrapText="1"/>
    </xf>
    <xf numFmtId="0" fontId="11" fillId="3" borderId="12" xfId="0" applyFont="1" applyFill="1" applyBorder="1" applyAlignment="1">
      <alignment horizontal="left" vertical="top" wrapText="1"/>
    </xf>
    <xf numFmtId="0" fontId="11" fillId="3" borderId="5" xfId="0" applyFont="1" applyFill="1" applyBorder="1" applyAlignment="1">
      <alignment horizontal="left" vertical="top" wrapText="1"/>
    </xf>
    <xf numFmtId="0" fontId="11" fillId="3" borderId="6" xfId="0" applyFont="1" applyFill="1" applyBorder="1" applyAlignment="1">
      <alignment horizontal="left" vertical="top" wrapText="1"/>
    </xf>
    <xf numFmtId="0" fontId="11" fillId="3" borderId="7" xfId="0" applyFont="1" applyFill="1" applyBorder="1" applyAlignment="1">
      <alignment horizontal="left" vertical="top" wrapText="1"/>
    </xf>
    <xf numFmtId="0" fontId="9" fillId="0" borderId="8" xfId="0" applyFont="1" applyBorder="1" applyAlignment="1">
      <alignment horizontal="center" vertical="top"/>
    </xf>
    <xf numFmtId="0" fontId="9" fillId="0" borderId="9" xfId="0" applyFont="1" applyBorder="1" applyAlignment="1">
      <alignment horizontal="center" vertical="top"/>
    </xf>
    <xf numFmtId="0" fontId="9" fillId="0" borderId="10" xfId="0" applyFont="1" applyBorder="1" applyAlignment="1">
      <alignment horizontal="center" vertical="top"/>
    </xf>
    <xf numFmtId="0" fontId="11" fillId="5" borderId="8" xfId="0" applyFont="1" applyFill="1" applyBorder="1" applyAlignment="1">
      <alignment horizontal="left" vertical="top" wrapText="1"/>
    </xf>
    <xf numFmtId="0" fontId="11" fillId="5" borderId="10" xfId="0" applyFont="1" applyFill="1" applyBorder="1" applyAlignment="1">
      <alignment horizontal="left" vertical="top" wrapText="1"/>
    </xf>
    <xf numFmtId="0" fontId="11" fillId="6" borderId="8" xfId="0" applyFont="1" applyFill="1" applyBorder="1" applyAlignment="1">
      <alignment horizontal="left" vertical="top" wrapText="1"/>
    </xf>
    <xf numFmtId="0" fontId="11" fillId="6" borderId="10" xfId="0" applyFont="1" applyFill="1" applyBorder="1" applyAlignment="1">
      <alignment horizontal="left" vertical="top" wrapText="1"/>
    </xf>
    <xf numFmtId="0" fontId="11" fillId="7" borderId="8" xfId="0" applyFont="1" applyFill="1" applyBorder="1" applyAlignment="1">
      <alignment horizontal="left" vertical="top" wrapText="1"/>
    </xf>
    <xf numFmtId="0" fontId="11" fillId="7" borderId="10" xfId="0" applyFont="1" applyFill="1" applyBorder="1" applyAlignment="1">
      <alignment horizontal="left" vertical="top" wrapText="1"/>
    </xf>
    <xf numFmtId="0" fontId="11" fillId="3" borderId="2" xfId="0" applyFont="1" applyFill="1" applyBorder="1" applyAlignment="1">
      <alignment horizontal="left" vertical="center" wrapText="1"/>
    </xf>
    <xf numFmtId="0" fontId="11" fillId="3" borderId="4" xfId="0" applyFont="1" applyFill="1" applyBorder="1" applyAlignment="1">
      <alignment horizontal="left" vertical="center" wrapText="1"/>
    </xf>
    <xf numFmtId="0" fontId="11" fillId="3" borderId="5" xfId="0" applyFont="1" applyFill="1" applyBorder="1" applyAlignment="1">
      <alignment horizontal="left" vertical="center" wrapText="1"/>
    </xf>
    <xf numFmtId="0" fontId="11" fillId="3" borderId="7" xfId="0" applyFont="1" applyFill="1" applyBorder="1" applyAlignment="1">
      <alignment horizontal="left" vertical="center" wrapText="1"/>
    </xf>
    <xf numFmtId="0" fontId="9" fillId="0" borderId="8" xfId="0" applyFont="1" applyBorder="1"/>
    <xf numFmtId="0" fontId="9" fillId="0" borderId="9" xfId="0" applyFont="1" applyBorder="1"/>
    <xf numFmtId="0" fontId="9" fillId="0" borderId="10" xfId="0" applyFont="1" applyBorder="1"/>
    <xf numFmtId="0" fontId="9" fillId="0" borderId="8" xfId="0" applyFont="1" applyBorder="1" applyAlignment="1">
      <alignment vertical="top"/>
    </xf>
    <xf numFmtId="0" fontId="9" fillId="0" borderId="9" xfId="0" applyFont="1" applyBorder="1" applyAlignment="1">
      <alignment vertical="top"/>
    </xf>
    <xf numFmtId="0" fontId="9" fillId="0" borderId="10" xfId="0" applyFont="1" applyBorder="1" applyAlignment="1">
      <alignment vertical="top"/>
    </xf>
    <xf numFmtId="0" fontId="11" fillId="3" borderId="2" xfId="0" applyFont="1" applyFill="1" applyBorder="1" applyAlignment="1">
      <alignment vertical="top" wrapText="1"/>
    </xf>
    <xf numFmtId="0" fontId="11" fillId="3" borderId="4" xfId="0" applyFont="1" applyFill="1" applyBorder="1" applyAlignment="1">
      <alignment vertical="top" wrapText="1"/>
    </xf>
    <xf numFmtId="0" fontId="11" fillId="3" borderId="11" xfId="0" applyFont="1" applyFill="1" applyBorder="1" applyAlignment="1">
      <alignment vertical="top" wrapText="1"/>
    </xf>
    <xf numFmtId="0" fontId="11" fillId="3" borderId="12" xfId="0" applyFont="1" applyFill="1" applyBorder="1" applyAlignment="1">
      <alignment vertical="top" wrapText="1"/>
    </xf>
    <xf numFmtId="0" fontId="11" fillId="3" borderId="5" xfId="0" applyFont="1" applyFill="1" applyBorder="1" applyAlignment="1">
      <alignment vertical="top" wrapText="1"/>
    </xf>
    <xf numFmtId="0" fontId="11" fillId="3" borderId="7" xfId="0" applyFont="1" applyFill="1" applyBorder="1" applyAlignment="1">
      <alignment vertical="top" wrapText="1"/>
    </xf>
    <xf numFmtId="0" fontId="11" fillId="3" borderId="3" xfId="0" applyFont="1" applyFill="1" applyBorder="1" applyAlignment="1">
      <alignment vertical="top" wrapText="1"/>
    </xf>
    <xf numFmtId="0" fontId="11" fillId="3" borderId="0" xfId="0" applyFont="1" applyFill="1" applyAlignment="1">
      <alignment vertical="top" wrapText="1"/>
    </xf>
    <xf numFmtId="0" fontId="11" fillId="3" borderId="6" xfId="0" applyFont="1" applyFill="1" applyBorder="1" applyAlignment="1">
      <alignment vertical="top" wrapText="1"/>
    </xf>
    <xf numFmtId="0" fontId="11" fillId="3" borderId="1" xfId="0" applyFont="1" applyFill="1" applyBorder="1" applyAlignment="1">
      <alignment vertical="top" wrapText="1"/>
    </xf>
    <xf numFmtId="0" fontId="11" fillId="3" borderId="1" xfId="0" applyFont="1" applyFill="1" applyBorder="1" applyAlignment="1">
      <alignment horizontal="center" vertical="top" wrapText="1"/>
    </xf>
    <xf numFmtId="0" fontId="12" fillId="2" borderId="8" xfId="0" applyFont="1" applyFill="1" applyBorder="1" applyAlignment="1">
      <alignment vertical="top"/>
    </xf>
    <xf numFmtId="0" fontId="12" fillId="2" borderId="9" xfId="0" applyFont="1" applyFill="1" applyBorder="1" applyAlignment="1">
      <alignment vertical="top"/>
    </xf>
    <xf numFmtId="0" fontId="12" fillId="2" borderId="10" xfId="0" applyFont="1" applyFill="1" applyBorder="1" applyAlignment="1">
      <alignment vertical="top"/>
    </xf>
    <xf numFmtId="0" fontId="19" fillId="3" borderId="2" xfId="0" applyFont="1" applyFill="1" applyBorder="1" applyAlignment="1">
      <alignment horizontal="center" vertical="center"/>
    </xf>
    <xf numFmtId="0" fontId="19" fillId="3" borderId="3" xfId="0" applyFont="1" applyFill="1" applyBorder="1" applyAlignment="1">
      <alignment horizontal="center" vertical="center"/>
    </xf>
    <xf numFmtId="0" fontId="19" fillId="3" borderId="4" xfId="0" applyFont="1" applyFill="1" applyBorder="1" applyAlignment="1">
      <alignment horizontal="center" vertical="center"/>
    </xf>
    <xf numFmtId="0" fontId="19" fillId="3" borderId="5" xfId="0" applyFont="1" applyFill="1" applyBorder="1" applyAlignment="1">
      <alignment horizontal="center" vertical="center"/>
    </xf>
    <xf numFmtId="0" fontId="19" fillId="3" borderId="6" xfId="0" applyFont="1" applyFill="1" applyBorder="1" applyAlignment="1">
      <alignment horizontal="center" vertical="center"/>
    </xf>
    <xf numFmtId="0" fontId="19" fillId="3" borderId="7" xfId="0" applyFont="1" applyFill="1" applyBorder="1" applyAlignment="1">
      <alignment horizontal="center" vertical="center"/>
    </xf>
    <xf numFmtId="0" fontId="17" fillId="3" borderId="1" xfId="0" applyFont="1" applyFill="1" applyBorder="1" applyAlignment="1">
      <alignment horizontal="center" vertical="center"/>
    </xf>
    <xf numFmtId="0" fontId="16" fillId="3" borderId="1" xfId="0" applyFont="1" applyFill="1" applyBorder="1" applyAlignment="1">
      <alignment vertical="top" wrapText="1"/>
    </xf>
    <xf numFmtId="0" fontId="11" fillId="3" borderId="2" xfId="0" applyFont="1" applyFill="1" applyBorder="1" applyAlignment="1">
      <alignment horizontal="center" vertical="top" wrapText="1"/>
    </xf>
    <xf numFmtId="0" fontId="11" fillId="3" borderId="3" xfId="0" applyFont="1" applyFill="1" applyBorder="1" applyAlignment="1">
      <alignment horizontal="center" vertical="top" wrapText="1"/>
    </xf>
    <xf numFmtId="0" fontId="11" fillId="3" borderId="4" xfId="0" applyFont="1" applyFill="1" applyBorder="1" applyAlignment="1">
      <alignment horizontal="center" vertical="top" wrapText="1"/>
    </xf>
    <xf numFmtId="0" fontId="11" fillId="3" borderId="11" xfId="0" applyFont="1" applyFill="1" applyBorder="1" applyAlignment="1">
      <alignment horizontal="center" vertical="top" wrapText="1"/>
    </xf>
    <xf numFmtId="0" fontId="11" fillId="3" borderId="0" xfId="0" applyFont="1" applyFill="1" applyAlignment="1">
      <alignment horizontal="center" vertical="top" wrapText="1"/>
    </xf>
    <xf numFmtId="0" fontId="11" fillId="3" borderId="12" xfId="0" applyFont="1" applyFill="1" applyBorder="1" applyAlignment="1">
      <alignment horizontal="center" vertical="top" wrapText="1"/>
    </xf>
    <xf numFmtId="0" fontId="11" fillId="3" borderId="5" xfId="0" applyFont="1" applyFill="1" applyBorder="1" applyAlignment="1">
      <alignment horizontal="center" vertical="top" wrapText="1"/>
    </xf>
    <xf numFmtId="0" fontId="11" fillId="3" borderId="6" xfId="0" applyFont="1" applyFill="1" applyBorder="1" applyAlignment="1">
      <alignment horizontal="center" vertical="top" wrapText="1"/>
    </xf>
    <xf numFmtId="0" fontId="11" fillId="3" borderId="7" xfId="0" applyFont="1" applyFill="1" applyBorder="1" applyAlignment="1">
      <alignment horizontal="center" vertical="top" wrapText="1"/>
    </xf>
    <xf numFmtId="0" fontId="11" fillId="3" borderId="8" xfId="0" applyFont="1" applyFill="1" applyBorder="1" applyAlignment="1">
      <alignment vertical="top"/>
    </xf>
    <xf numFmtId="0" fontId="11" fillId="3" borderId="9" xfId="0" applyFont="1" applyFill="1" applyBorder="1" applyAlignment="1">
      <alignment vertical="top"/>
    </xf>
    <xf numFmtId="0" fontId="11" fillId="3" borderId="10" xfId="0" applyFont="1" applyFill="1" applyBorder="1" applyAlignment="1">
      <alignment vertical="top"/>
    </xf>
    <xf numFmtId="0" fontId="12" fillId="0" borderId="8" xfId="0" applyFont="1" applyBorder="1" applyAlignment="1">
      <alignment vertical="top"/>
    </xf>
    <xf numFmtId="0" fontId="12" fillId="0" borderId="9" xfId="0" applyFont="1" applyBorder="1" applyAlignment="1">
      <alignment vertical="top"/>
    </xf>
    <xf numFmtId="0" fontId="12" fillId="0" borderId="10" xfId="0" applyFont="1" applyBorder="1" applyAlignment="1">
      <alignment vertical="top"/>
    </xf>
    <xf numFmtId="0" fontId="10" fillId="3" borderId="2" xfId="0" applyFont="1" applyFill="1" applyBorder="1" applyAlignment="1">
      <alignment horizontal="center" vertical="center"/>
    </xf>
    <xf numFmtId="0" fontId="10" fillId="3" borderId="3" xfId="0" applyFont="1" applyFill="1" applyBorder="1" applyAlignment="1">
      <alignment horizontal="center" vertical="center"/>
    </xf>
    <xf numFmtId="0" fontId="10" fillId="3" borderId="4" xfId="0" applyFont="1" applyFill="1" applyBorder="1" applyAlignment="1">
      <alignment horizontal="center" vertical="center"/>
    </xf>
    <xf numFmtId="0" fontId="10" fillId="3" borderId="5" xfId="0" applyFont="1" applyFill="1" applyBorder="1" applyAlignment="1">
      <alignment horizontal="center" vertical="center"/>
    </xf>
    <xf numFmtId="0" fontId="10" fillId="3" borderId="6" xfId="0" applyFont="1" applyFill="1" applyBorder="1" applyAlignment="1">
      <alignment horizontal="center" vertical="center"/>
    </xf>
    <xf numFmtId="0" fontId="10" fillId="3" borderId="7" xfId="0" applyFont="1" applyFill="1" applyBorder="1" applyAlignment="1">
      <alignment horizontal="center" vertical="center"/>
    </xf>
    <xf numFmtId="49" fontId="12" fillId="0" borderId="8" xfId="0" applyNumberFormat="1" applyFont="1" applyBorder="1" applyAlignment="1">
      <alignment vertical="top"/>
    </xf>
    <xf numFmtId="49" fontId="12" fillId="0" borderId="9" xfId="0" applyNumberFormat="1" applyFont="1" applyBorder="1" applyAlignment="1">
      <alignment vertical="top"/>
    </xf>
    <xf numFmtId="49" fontId="12" fillId="0" borderId="10" xfId="0" applyNumberFormat="1" applyFont="1" applyBorder="1" applyAlignment="1">
      <alignment vertical="top"/>
    </xf>
    <xf numFmtId="0" fontId="21" fillId="3" borderId="8" xfId="0" applyFont="1" applyFill="1" applyBorder="1" applyAlignment="1">
      <alignment horizontal="center" vertical="top"/>
    </xf>
    <xf numFmtId="0" fontId="21" fillId="3" borderId="9" xfId="0" applyFont="1" applyFill="1" applyBorder="1" applyAlignment="1">
      <alignment horizontal="center" vertical="top"/>
    </xf>
    <xf numFmtId="0" fontId="21" fillId="3" borderId="10" xfId="0" applyFont="1" applyFill="1" applyBorder="1" applyAlignment="1">
      <alignment horizontal="center" vertical="top"/>
    </xf>
    <xf numFmtId="0" fontId="22" fillId="0" borderId="1" xfId="3" applyBorder="1" applyAlignment="1">
      <alignment horizontal="center" vertical="top"/>
    </xf>
    <xf numFmtId="0" fontId="0" fillId="0" borderId="1" xfId="0" applyBorder="1" applyAlignment="1">
      <alignment horizontal="center" vertical="center"/>
    </xf>
    <xf numFmtId="0" fontId="3" fillId="4" borderId="1" xfId="0" applyFont="1" applyFill="1" applyBorder="1" applyAlignment="1">
      <alignment horizontal="center" vertical="center"/>
    </xf>
    <xf numFmtId="0" fontId="15" fillId="3" borderId="15" xfId="0" applyFont="1" applyFill="1" applyBorder="1" applyAlignment="1">
      <alignment horizontal="center" vertical="center"/>
    </xf>
    <xf numFmtId="0" fontId="0" fillId="0" borderId="16" xfId="0" applyBorder="1" applyAlignment="1">
      <alignment horizontal="center" vertical="center"/>
    </xf>
    <xf numFmtId="0" fontId="0" fillId="0" borderId="18" xfId="0" applyBorder="1" applyAlignment="1">
      <alignment horizontal="center" vertical="center"/>
    </xf>
    <xf numFmtId="0" fontId="0" fillId="0" borderId="17" xfId="0" applyBorder="1" applyAlignment="1">
      <alignment horizontal="center" vertical="center"/>
    </xf>
    <xf numFmtId="0" fontId="0" fillId="0" borderId="11" xfId="0" applyBorder="1" applyAlignment="1">
      <alignment horizontal="center" vertical="center"/>
    </xf>
    <xf numFmtId="0" fontId="0" fillId="0" borderId="0" xfId="0" applyAlignment="1">
      <alignment horizontal="center" vertical="center"/>
    </xf>
    <xf numFmtId="0" fontId="0" fillId="0" borderId="12" xfId="0" applyBorder="1" applyAlignment="1">
      <alignment horizontal="center" vertical="center"/>
    </xf>
    <xf numFmtId="0" fontId="0" fillId="0" borderId="5" xfId="0" applyBorder="1" applyAlignment="1">
      <alignment horizontal="center" vertical="center"/>
    </xf>
    <xf numFmtId="0" fontId="0" fillId="0" borderId="6" xfId="0" applyBorder="1" applyAlignment="1">
      <alignment horizontal="center" vertical="center"/>
    </xf>
    <xf numFmtId="0" fontId="0" fillId="0" borderId="7" xfId="0" applyBorder="1" applyAlignment="1">
      <alignment horizontal="center" vertical="center"/>
    </xf>
    <xf numFmtId="0" fontId="0" fillId="0" borderId="2" xfId="0" applyBorder="1" applyAlignment="1">
      <alignment horizontal="center" vertical="center" wrapText="1"/>
    </xf>
    <xf numFmtId="0" fontId="0" fillId="0" borderId="4" xfId="0" applyBorder="1" applyAlignment="1">
      <alignment horizontal="center" vertical="center" wrapText="1"/>
    </xf>
    <xf numFmtId="0" fontId="0" fillId="0" borderId="11" xfId="0" applyBorder="1" applyAlignment="1">
      <alignment horizontal="center" vertical="center" wrapText="1"/>
    </xf>
    <xf numFmtId="0" fontId="0" fillId="0" borderId="12" xfId="0" applyBorder="1" applyAlignment="1">
      <alignment horizontal="center" vertical="center" wrapText="1"/>
    </xf>
    <xf numFmtId="0" fontId="0" fillId="0" borderId="5" xfId="0" applyBorder="1" applyAlignment="1">
      <alignment horizontal="center" vertical="center" wrapText="1"/>
    </xf>
    <xf numFmtId="0" fontId="0" fillId="0" borderId="7" xfId="0" applyBorder="1" applyAlignment="1">
      <alignment horizontal="center" vertical="center" wrapText="1"/>
    </xf>
    <xf numFmtId="0" fontId="3" fillId="4" borderId="2" xfId="0" applyFont="1" applyFill="1" applyBorder="1" applyAlignment="1">
      <alignment horizontal="center" vertical="center" wrapText="1"/>
    </xf>
    <xf numFmtId="0" fontId="3" fillId="4" borderId="4" xfId="0" applyFont="1" applyFill="1" applyBorder="1" applyAlignment="1">
      <alignment horizontal="center" vertical="center" wrapText="1"/>
    </xf>
    <xf numFmtId="0" fontId="3" fillId="4" borderId="11" xfId="0" applyFont="1" applyFill="1" applyBorder="1" applyAlignment="1">
      <alignment horizontal="center" vertical="center" wrapText="1"/>
    </xf>
    <xf numFmtId="0" fontId="3" fillId="4" borderId="12" xfId="0" applyFont="1" applyFill="1" applyBorder="1" applyAlignment="1">
      <alignment horizontal="center" vertical="center" wrapText="1"/>
    </xf>
    <xf numFmtId="0" fontId="3" fillId="4" borderId="5" xfId="0" applyFont="1" applyFill="1" applyBorder="1" applyAlignment="1">
      <alignment horizontal="center" vertical="center" wrapText="1"/>
    </xf>
    <xf numFmtId="0" fontId="3" fillId="4" borderId="7" xfId="0" applyFont="1" applyFill="1" applyBorder="1" applyAlignment="1">
      <alignment horizontal="center" vertical="center" wrapText="1"/>
    </xf>
    <xf numFmtId="0" fontId="12" fillId="0" borderId="1" xfId="0" applyFont="1" applyBorder="1" applyAlignment="1">
      <alignment horizontal="center" vertical="top" wrapText="1"/>
    </xf>
    <xf numFmtId="0" fontId="11" fillId="3" borderId="5" xfId="0" applyFont="1" applyFill="1" applyBorder="1" applyAlignment="1">
      <alignment horizontal="center" vertical="top"/>
    </xf>
    <xf numFmtId="0" fontId="11" fillId="3" borderId="6" xfId="0" applyFont="1" applyFill="1" applyBorder="1" applyAlignment="1">
      <alignment horizontal="center" vertical="top"/>
    </xf>
    <xf numFmtId="0" fontId="11" fillId="3" borderId="7" xfId="0" applyFont="1" applyFill="1" applyBorder="1" applyAlignment="1">
      <alignment horizontal="center" vertical="top"/>
    </xf>
    <xf numFmtId="0" fontId="12" fillId="0" borderId="1" xfId="0" applyFont="1" applyBorder="1" applyAlignment="1">
      <alignment horizontal="center" vertical="top"/>
    </xf>
    <xf numFmtId="0" fontId="12" fillId="2" borderId="1" xfId="0" applyFont="1" applyFill="1" applyBorder="1" applyAlignment="1">
      <alignment horizontal="center" vertical="top"/>
    </xf>
    <xf numFmtId="0" fontId="3" fillId="4" borderId="1" xfId="0" applyFont="1" applyFill="1" applyBorder="1" applyAlignment="1">
      <alignment horizontal="center" vertical="center" wrapText="1"/>
    </xf>
    <xf numFmtId="0" fontId="0" fillId="0" borderId="16" xfId="0" applyBorder="1" applyAlignment="1">
      <alignment horizontal="center" vertical="center" wrapText="1"/>
    </xf>
    <xf numFmtId="0" fontId="0" fillId="0" borderId="17" xfId="0" applyBorder="1" applyAlignment="1">
      <alignment horizontal="center" vertical="center" wrapText="1"/>
    </xf>
    <xf numFmtId="0" fontId="0" fillId="0" borderId="1" xfId="0" applyBorder="1" applyAlignment="1">
      <alignment horizontal="center"/>
    </xf>
    <xf numFmtId="0" fontId="11" fillId="3" borderId="8" xfId="0" applyFont="1" applyFill="1" applyBorder="1" applyAlignment="1">
      <alignment horizontal="right" vertical="top"/>
    </xf>
    <xf numFmtId="0" fontId="11" fillId="3" borderId="9" xfId="0" applyFont="1" applyFill="1" applyBorder="1" applyAlignment="1">
      <alignment horizontal="right" vertical="top"/>
    </xf>
    <xf numFmtId="0" fontId="11" fillId="3" borderId="10" xfId="0" applyFont="1" applyFill="1" applyBorder="1" applyAlignment="1">
      <alignment horizontal="right" vertical="top"/>
    </xf>
    <xf numFmtId="0" fontId="15" fillId="3" borderId="1" xfId="0" applyFont="1" applyFill="1" applyBorder="1" applyAlignment="1">
      <alignment horizontal="left" vertical="top" wrapText="1"/>
    </xf>
    <xf numFmtId="0" fontId="15" fillId="3" borderId="1" xfId="0" applyFont="1" applyFill="1" applyBorder="1" applyAlignment="1">
      <alignment horizontal="center" vertical="center"/>
    </xf>
    <xf numFmtId="0" fontId="15" fillId="3" borderId="19" xfId="0" applyFont="1" applyFill="1" applyBorder="1" applyAlignment="1">
      <alignment horizontal="center" vertical="center"/>
    </xf>
    <xf numFmtId="0" fontId="11" fillId="3" borderId="1" xfId="0" applyFont="1" applyFill="1" applyBorder="1" applyAlignment="1">
      <alignment horizontal="center" vertical="top"/>
    </xf>
    <xf numFmtId="0" fontId="11" fillId="3" borderId="15" xfId="0" applyFont="1" applyFill="1" applyBorder="1" applyAlignment="1">
      <alignment horizontal="center" vertical="top"/>
    </xf>
    <xf numFmtId="0" fontId="12" fillId="2" borderId="13" xfId="0" applyFont="1" applyFill="1" applyBorder="1" applyAlignment="1">
      <alignment horizontal="center" vertical="top"/>
    </xf>
    <xf numFmtId="0" fontId="22" fillId="0" borderId="13" xfId="3" applyBorder="1" applyAlignment="1">
      <alignment horizontal="center" vertical="top"/>
    </xf>
    <xf numFmtId="0" fontId="12" fillId="0" borderId="13" xfId="0" applyFont="1" applyBorder="1" applyAlignment="1">
      <alignment horizontal="center" vertical="top"/>
    </xf>
    <xf numFmtId="0" fontId="13" fillId="0" borderId="1" xfId="0" applyFont="1" applyBorder="1" applyAlignment="1">
      <alignment horizontal="center" vertical="top"/>
    </xf>
    <xf numFmtId="0" fontId="23" fillId="3" borderId="1" xfId="0" applyFont="1" applyFill="1" applyBorder="1" applyAlignment="1">
      <alignment horizontal="center"/>
    </xf>
    <xf numFmtId="0" fontId="23" fillId="8" borderId="1" xfId="0" applyFont="1" applyFill="1" applyBorder="1" applyAlignment="1">
      <alignment horizontal="center"/>
    </xf>
  </cellXfs>
  <cellStyles count="6">
    <cellStyle name="Hüperlink" xfId="3" builtinId="8"/>
    <cellStyle name="Normaallaad" xfId="0" builtinId="0"/>
    <cellStyle name="Normaallaad 2" xfId="2" xr:uid="{4C307A48-2C7C-49E2-AFC3-069EAE719C2C}"/>
    <cellStyle name="Normaallaad 2 2" xfId="5" xr:uid="{761634E2-880C-4CB2-BE00-D213AC9F03C4}"/>
    <cellStyle name="Normaallaad 3" xfId="4" xr:uid="{57DCC5C5-500C-43C6-8FA3-EAED7A8B010A}"/>
    <cellStyle name="Prots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w3.org/WAI/WCAG21/Understanding/" TargetMode="External"/><Relationship Id="rId1" Type="http://schemas.openxmlformats.org/officeDocument/2006/relationships/hyperlink" Target="https://www.etsi.org/deliver/etsi_en/301500_301599/301549/03.02.01_60/en_301549v030201p.pdf"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www.test.ee/" TargetMode="External"/><Relationship Id="rId3" Type="http://schemas.openxmlformats.org/officeDocument/2006/relationships/hyperlink" Target="http://www.test.ee/" TargetMode="External"/><Relationship Id="rId7" Type="http://schemas.openxmlformats.org/officeDocument/2006/relationships/hyperlink" Target="http://www.test.ee/" TargetMode="External"/><Relationship Id="rId2" Type="http://schemas.openxmlformats.org/officeDocument/2006/relationships/hyperlink" Target="http://www.test.ee/" TargetMode="External"/><Relationship Id="rId1" Type="http://schemas.openxmlformats.org/officeDocument/2006/relationships/hyperlink" Target="http://www.test.ee/" TargetMode="External"/><Relationship Id="rId6" Type="http://schemas.openxmlformats.org/officeDocument/2006/relationships/hyperlink" Target="http://www.test.ee/" TargetMode="External"/><Relationship Id="rId5" Type="http://schemas.openxmlformats.org/officeDocument/2006/relationships/hyperlink" Target="http://www.test.ee/" TargetMode="External"/><Relationship Id="rId4" Type="http://schemas.openxmlformats.org/officeDocument/2006/relationships/hyperlink" Target="http://www.test.ee/" TargetMode="External"/><Relationship Id="rId9"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6CA717-A4BF-4881-A01F-1A69A39122F2}">
  <sheetPr>
    <pageSetUpPr fitToPage="1"/>
  </sheetPr>
  <dimension ref="B2:AE46"/>
  <sheetViews>
    <sheetView zoomScale="90" zoomScaleNormal="90" workbookViewId="0">
      <selection activeCell="R64" sqref="R64"/>
    </sheetView>
  </sheetViews>
  <sheetFormatPr defaultRowHeight="12.5" x14ac:dyDescent="0.25"/>
  <cols>
    <col min="17" max="27" width="9.1796875" style="1"/>
    <col min="28" max="28" width="9" style="1" bestFit="1" customWidth="1"/>
    <col min="29" max="29" width="9.54296875" style="1" bestFit="1" customWidth="1"/>
    <col min="30" max="30" width="9" style="1" bestFit="1" customWidth="1"/>
  </cols>
  <sheetData>
    <row r="2" spans="2:30" ht="13.4" customHeight="1" x14ac:dyDescent="0.25">
      <c r="B2" s="112" t="s">
        <v>0</v>
      </c>
      <c r="C2" s="113"/>
      <c r="D2" s="113"/>
      <c r="E2" s="113"/>
      <c r="F2" s="113"/>
      <c r="G2" s="113"/>
      <c r="H2" s="113"/>
      <c r="I2" s="114"/>
      <c r="J2" s="4"/>
      <c r="K2" s="89" t="s">
        <v>1</v>
      </c>
      <c r="L2" s="90"/>
      <c r="M2" s="90"/>
      <c r="N2" s="90"/>
      <c r="O2" s="91"/>
      <c r="P2" s="17"/>
      <c r="Q2" s="95" t="s">
        <v>2</v>
      </c>
      <c r="R2" s="95"/>
      <c r="S2" s="95"/>
      <c r="T2" s="95"/>
      <c r="U2" s="95"/>
      <c r="V2" s="95"/>
      <c r="W2" s="95"/>
      <c r="X2" s="95"/>
      <c r="Y2" s="95"/>
      <c r="Z2" s="95"/>
      <c r="AA2" s="95"/>
      <c r="AB2" s="95"/>
      <c r="AC2" s="95"/>
      <c r="AD2" s="95"/>
    </row>
    <row r="3" spans="2:30" ht="13.4" customHeight="1" x14ac:dyDescent="0.25">
      <c r="B3" s="115"/>
      <c r="C3" s="116"/>
      <c r="D3" s="116"/>
      <c r="E3" s="116"/>
      <c r="F3" s="116"/>
      <c r="G3" s="116"/>
      <c r="H3" s="116"/>
      <c r="I3" s="117"/>
      <c r="J3" s="4"/>
      <c r="K3" s="92"/>
      <c r="L3" s="93"/>
      <c r="M3" s="93"/>
      <c r="N3" s="93"/>
      <c r="O3" s="94"/>
      <c r="P3" s="17"/>
      <c r="Q3" s="95"/>
      <c r="R3" s="95"/>
      <c r="S3" s="95"/>
      <c r="T3" s="95"/>
      <c r="U3" s="95"/>
      <c r="V3" s="95"/>
      <c r="W3" s="95"/>
      <c r="X3" s="95"/>
      <c r="Y3" s="95"/>
      <c r="Z3" s="95"/>
      <c r="AA3" s="95"/>
      <c r="AB3" s="95"/>
      <c r="AC3" s="95"/>
      <c r="AD3" s="95"/>
    </row>
    <row r="4" spans="2:30" ht="13.4" customHeight="1" x14ac:dyDescent="0.25">
      <c r="B4" s="5"/>
      <c r="C4" s="5"/>
      <c r="D4" s="5"/>
      <c r="E4" s="5"/>
      <c r="F4" s="5"/>
      <c r="G4" s="5"/>
      <c r="H4" s="5"/>
      <c r="I4" s="5"/>
      <c r="J4" s="5"/>
      <c r="K4" s="96" t="s">
        <v>303</v>
      </c>
      <c r="L4" s="96"/>
      <c r="M4" s="96"/>
      <c r="N4" s="96"/>
      <c r="O4" s="96"/>
      <c r="P4" s="17"/>
      <c r="Q4" s="75" t="s">
        <v>6</v>
      </c>
      <c r="R4" s="76"/>
      <c r="S4" s="75" t="s">
        <v>304</v>
      </c>
      <c r="T4" s="81"/>
      <c r="U4" s="81"/>
      <c r="V4" s="81"/>
      <c r="W4" s="81"/>
      <c r="X4" s="81"/>
      <c r="Y4" s="81"/>
      <c r="Z4" s="81"/>
      <c r="AA4" s="81"/>
      <c r="AB4" s="81"/>
      <c r="AC4" s="81"/>
      <c r="AD4" s="76"/>
    </row>
    <row r="5" spans="2:30" ht="13.4" customHeight="1" x14ac:dyDescent="0.25">
      <c r="B5" s="106" t="s">
        <v>300</v>
      </c>
      <c r="C5" s="107"/>
      <c r="D5" s="107"/>
      <c r="E5" s="108"/>
      <c r="F5" s="109"/>
      <c r="G5" s="110"/>
      <c r="H5" s="110"/>
      <c r="I5" s="111"/>
      <c r="J5" s="5"/>
      <c r="K5" s="96"/>
      <c r="L5" s="96"/>
      <c r="M5" s="96"/>
      <c r="N5" s="96"/>
      <c r="O5" s="96"/>
      <c r="P5" s="17"/>
      <c r="Q5" s="79"/>
      <c r="R5" s="80"/>
      <c r="S5" s="79"/>
      <c r="T5" s="83"/>
      <c r="U5" s="83"/>
      <c r="V5" s="83"/>
      <c r="W5" s="83"/>
      <c r="X5" s="83"/>
      <c r="Y5" s="83"/>
      <c r="Z5" s="83"/>
      <c r="AA5" s="83"/>
      <c r="AB5" s="83"/>
      <c r="AC5" s="83"/>
      <c r="AD5" s="80"/>
    </row>
    <row r="6" spans="2:30" ht="13.4" customHeight="1" x14ac:dyDescent="0.25">
      <c r="B6" s="106" t="s">
        <v>301</v>
      </c>
      <c r="C6" s="107"/>
      <c r="D6" s="107"/>
      <c r="E6" s="108"/>
      <c r="F6" s="118"/>
      <c r="G6" s="119"/>
      <c r="H6" s="119"/>
      <c r="I6" s="120"/>
      <c r="J6" s="5"/>
      <c r="K6" s="96"/>
      <c r="L6" s="96"/>
      <c r="M6" s="96"/>
      <c r="N6" s="96"/>
      <c r="O6" s="96"/>
      <c r="P6" s="17"/>
      <c r="Q6" s="75" t="s">
        <v>7</v>
      </c>
      <c r="R6" s="76"/>
      <c r="S6" s="75" t="s">
        <v>8</v>
      </c>
      <c r="T6" s="81"/>
      <c r="U6" s="81"/>
      <c r="V6" s="81"/>
      <c r="W6" s="81"/>
      <c r="X6" s="81"/>
      <c r="Y6" s="81"/>
      <c r="Z6" s="81"/>
      <c r="AA6" s="81"/>
      <c r="AB6" s="81"/>
      <c r="AC6" s="81"/>
      <c r="AD6" s="76"/>
    </row>
    <row r="7" spans="2:30" ht="13.4" customHeight="1" x14ac:dyDescent="0.25">
      <c r="B7" s="106" t="s">
        <v>3</v>
      </c>
      <c r="C7" s="107"/>
      <c r="D7" s="107"/>
      <c r="E7" s="108"/>
      <c r="F7" s="109"/>
      <c r="G7" s="110"/>
      <c r="H7" s="110"/>
      <c r="I7" s="111"/>
      <c r="J7" s="5"/>
      <c r="K7" s="96"/>
      <c r="L7" s="96"/>
      <c r="M7" s="96"/>
      <c r="N7" s="96"/>
      <c r="O7" s="96"/>
      <c r="P7" s="17"/>
      <c r="Q7" s="79"/>
      <c r="R7" s="80"/>
      <c r="S7" s="79"/>
      <c r="T7" s="83"/>
      <c r="U7" s="83"/>
      <c r="V7" s="83"/>
      <c r="W7" s="83"/>
      <c r="X7" s="83"/>
      <c r="Y7" s="83"/>
      <c r="Z7" s="83"/>
      <c r="AA7" s="83"/>
      <c r="AB7" s="83"/>
      <c r="AC7" s="83"/>
      <c r="AD7" s="80"/>
    </row>
    <row r="8" spans="2:30" ht="13.4" customHeight="1" x14ac:dyDescent="0.25">
      <c r="B8" s="106" t="s">
        <v>4</v>
      </c>
      <c r="C8" s="107"/>
      <c r="D8" s="107"/>
      <c r="E8" s="108"/>
      <c r="F8" s="109"/>
      <c r="G8" s="110"/>
      <c r="H8" s="110"/>
      <c r="I8" s="111"/>
      <c r="J8" s="5"/>
      <c r="K8" s="96"/>
      <c r="L8" s="96"/>
      <c r="M8" s="96"/>
      <c r="N8" s="96"/>
      <c r="O8" s="96"/>
      <c r="P8" s="17"/>
      <c r="Q8" s="84" t="s">
        <v>9</v>
      </c>
      <c r="R8" s="84"/>
      <c r="S8" s="84" t="s">
        <v>327</v>
      </c>
      <c r="T8" s="84"/>
      <c r="U8" s="84"/>
      <c r="V8" s="84"/>
      <c r="W8" s="84"/>
      <c r="X8" s="84"/>
      <c r="Y8" s="84"/>
      <c r="Z8" s="84"/>
      <c r="AA8" s="84"/>
      <c r="AB8" s="84"/>
      <c r="AC8" s="84"/>
      <c r="AD8" s="84"/>
    </row>
    <row r="9" spans="2:30" ht="13.4" customHeight="1" x14ac:dyDescent="0.25">
      <c r="B9" s="6"/>
      <c r="C9" s="6"/>
      <c r="D9" s="6"/>
      <c r="E9" s="6"/>
      <c r="F9" s="6"/>
      <c r="G9" s="6"/>
      <c r="H9" s="6"/>
      <c r="I9" s="6"/>
      <c r="J9" s="6"/>
      <c r="K9" s="96"/>
      <c r="L9" s="96"/>
      <c r="M9" s="96"/>
      <c r="N9" s="96"/>
      <c r="O9" s="96"/>
      <c r="P9" s="17"/>
      <c r="Q9" s="84"/>
      <c r="R9" s="84"/>
      <c r="S9" s="84"/>
      <c r="T9" s="84"/>
      <c r="U9" s="84"/>
      <c r="V9" s="84"/>
      <c r="W9" s="84"/>
      <c r="X9" s="84"/>
      <c r="Y9" s="84"/>
      <c r="Z9" s="84"/>
      <c r="AA9" s="84"/>
      <c r="AB9" s="84"/>
      <c r="AC9" s="84"/>
      <c r="AD9" s="84"/>
    </row>
    <row r="10" spans="2:30" ht="13.4" customHeight="1" x14ac:dyDescent="0.25">
      <c r="B10" s="85" t="s">
        <v>5</v>
      </c>
      <c r="C10" s="85"/>
      <c r="D10" s="85"/>
      <c r="E10" s="85"/>
      <c r="F10" s="85"/>
      <c r="G10" s="85"/>
      <c r="H10" s="85"/>
      <c r="I10" s="85"/>
      <c r="J10" s="6"/>
      <c r="K10" s="96"/>
      <c r="L10" s="96"/>
      <c r="M10" s="96"/>
      <c r="N10" s="96"/>
      <c r="O10" s="96"/>
      <c r="P10" s="17"/>
      <c r="Q10" s="84"/>
      <c r="R10" s="84"/>
      <c r="S10" s="84"/>
      <c r="T10" s="84"/>
      <c r="U10" s="84"/>
      <c r="V10" s="84"/>
      <c r="W10" s="84"/>
      <c r="X10" s="84"/>
      <c r="Y10" s="84"/>
      <c r="Z10" s="84"/>
      <c r="AA10" s="84"/>
      <c r="AB10" s="84"/>
      <c r="AC10" s="84"/>
      <c r="AD10" s="84"/>
    </row>
    <row r="11" spans="2:30" ht="13.4" customHeight="1" x14ac:dyDescent="0.25">
      <c r="B11" s="97"/>
      <c r="C11" s="98"/>
      <c r="D11" s="98"/>
      <c r="E11" s="98"/>
      <c r="F11" s="98"/>
      <c r="G11" s="98"/>
      <c r="H11" s="98"/>
      <c r="I11" s="99"/>
      <c r="J11" s="6"/>
      <c r="K11" s="96"/>
      <c r="L11" s="96"/>
      <c r="M11" s="96"/>
      <c r="N11" s="96"/>
      <c r="O11" s="96"/>
      <c r="P11" s="17"/>
      <c r="Q11" s="84"/>
      <c r="R11" s="84"/>
      <c r="S11" s="84"/>
      <c r="T11" s="84"/>
      <c r="U11" s="84"/>
      <c r="V11" s="84"/>
      <c r="W11" s="84"/>
      <c r="X11" s="84"/>
      <c r="Y11" s="84"/>
      <c r="Z11" s="84"/>
      <c r="AA11" s="84"/>
      <c r="AB11" s="84"/>
      <c r="AC11" s="84"/>
      <c r="AD11" s="84"/>
    </row>
    <row r="12" spans="2:30" ht="12.75" customHeight="1" x14ac:dyDescent="0.25">
      <c r="B12" s="100"/>
      <c r="C12" s="101"/>
      <c r="D12" s="101"/>
      <c r="E12" s="101"/>
      <c r="F12" s="101"/>
      <c r="G12" s="101"/>
      <c r="H12" s="101"/>
      <c r="I12" s="102"/>
      <c r="J12" s="6"/>
      <c r="K12" s="96"/>
      <c r="L12" s="96"/>
      <c r="M12" s="96"/>
      <c r="N12" s="96"/>
      <c r="O12" s="96"/>
      <c r="P12" s="17"/>
      <c r="Q12" s="84"/>
      <c r="R12" s="84"/>
      <c r="S12" s="84"/>
      <c r="T12" s="84"/>
      <c r="U12" s="84"/>
      <c r="V12" s="84"/>
      <c r="W12" s="84"/>
      <c r="X12" s="84"/>
      <c r="Y12" s="84"/>
      <c r="Z12" s="84"/>
      <c r="AA12" s="84"/>
      <c r="AB12" s="84"/>
      <c r="AC12" s="84"/>
      <c r="AD12" s="84"/>
    </row>
    <row r="13" spans="2:30" ht="12.75" customHeight="1" x14ac:dyDescent="0.25">
      <c r="B13" s="100"/>
      <c r="C13" s="101"/>
      <c r="D13" s="101"/>
      <c r="E13" s="101"/>
      <c r="F13" s="101"/>
      <c r="G13" s="101"/>
      <c r="H13" s="101"/>
      <c r="I13" s="102"/>
      <c r="J13" s="6"/>
      <c r="K13" s="96"/>
      <c r="L13" s="96"/>
      <c r="M13" s="96"/>
      <c r="N13" s="96"/>
      <c r="O13" s="96"/>
      <c r="P13" s="17"/>
      <c r="Q13" s="84"/>
      <c r="R13" s="84"/>
      <c r="S13" s="84"/>
      <c r="T13" s="84"/>
      <c r="U13" s="84"/>
      <c r="V13" s="84"/>
      <c r="W13" s="84"/>
      <c r="X13" s="84"/>
      <c r="Y13" s="84"/>
      <c r="Z13" s="84"/>
      <c r="AA13" s="84"/>
      <c r="AB13" s="84"/>
      <c r="AC13" s="84"/>
      <c r="AD13" s="84"/>
    </row>
    <row r="14" spans="2:30" ht="13.4" customHeight="1" x14ac:dyDescent="0.25">
      <c r="B14" s="103"/>
      <c r="C14" s="104"/>
      <c r="D14" s="104"/>
      <c r="E14" s="104"/>
      <c r="F14" s="104"/>
      <c r="G14" s="104"/>
      <c r="H14" s="104"/>
      <c r="I14" s="105"/>
      <c r="J14" s="6"/>
      <c r="K14" s="96"/>
      <c r="L14" s="96"/>
      <c r="M14" s="96"/>
      <c r="N14" s="96"/>
      <c r="O14" s="96"/>
      <c r="P14" s="17"/>
      <c r="Q14" s="84"/>
      <c r="R14" s="84"/>
      <c r="S14" s="84"/>
      <c r="T14" s="84"/>
      <c r="U14" s="84"/>
      <c r="V14" s="84"/>
      <c r="W14" s="84"/>
      <c r="X14" s="84"/>
      <c r="Y14" s="84"/>
      <c r="Z14" s="84"/>
      <c r="AA14" s="84"/>
      <c r="AB14" s="84"/>
      <c r="AC14" s="84"/>
      <c r="AD14" s="84"/>
    </row>
    <row r="15" spans="2:30" ht="13.4" customHeight="1" x14ac:dyDescent="0.25">
      <c r="B15" s="86" t="s">
        <v>320</v>
      </c>
      <c r="C15" s="87"/>
      <c r="D15" s="87"/>
      <c r="E15" s="87"/>
      <c r="F15" s="87"/>
      <c r="G15" s="87"/>
      <c r="H15" s="87"/>
      <c r="I15" s="88"/>
      <c r="J15" s="6"/>
      <c r="K15" s="96"/>
      <c r="L15" s="96"/>
      <c r="M15" s="96"/>
      <c r="N15" s="96"/>
      <c r="O15" s="96"/>
      <c r="P15" s="17"/>
      <c r="Q15" s="84"/>
      <c r="R15" s="84"/>
      <c r="S15" s="84"/>
      <c r="T15" s="84"/>
      <c r="U15" s="84"/>
      <c r="V15" s="84"/>
      <c r="W15" s="84"/>
      <c r="X15" s="84"/>
      <c r="Y15" s="84"/>
      <c r="Z15" s="84"/>
      <c r="AA15" s="84"/>
      <c r="AB15" s="84"/>
      <c r="AC15" s="84"/>
      <c r="AD15" s="84"/>
    </row>
    <row r="16" spans="2:30" ht="13.4" customHeight="1" x14ac:dyDescent="0.25">
      <c r="B16" s="86" t="s">
        <v>321</v>
      </c>
      <c r="C16" s="87"/>
      <c r="D16" s="87"/>
      <c r="E16" s="87"/>
      <c r="F16" s="87"/>
      <c r="G16" s="87"/>
      <c r="H16" s="87"/>
      <c r="I16" s="88"/>
      <c r="J16" s="6"/>
      <c r="K16" s="96"/>
      <c r="L16" s="96"/>
      <c r="M16" s="96"/>
      <c r="N16" s="96"/>
      <c r="O16" s="96"/>
      <c r="P16" s="17"/>
      <c r="Q16" s="84"/>
      <c r="R16" s="84"/>
      <c r="S16" s="84"/>
      <c r="T16" s="84"/>
      <c r="U16" s="84"/>
      <c r="V16" s="84"/>
      <c r="W16" s="84"/>
      <c r="X16" s="84"/>
      <c r="Y16" s="84"/>
      <c r="Z16" s="84"/>
      <c r="AA16" s="84"/>
      <c r="AB16" s="84"/>
      <c r="AC16" s="84"/>
      <c r="AD16" s="84"/>
    </row>
    <row r="17" spans="2:31" ht="13.4" customHeight="1" x14ac:dyDescent="0.25">
      <c r="B17" s="86" t="s">
        <v>322</v>
      </c>
      <c r="C17" s="87"/>
      <c r="D17" s="87"/>
      <c r="E17" s="87"/>
      <c r="F17" s="87"/>
      <c r="G17" s="87"/>
      <c r="H17" s="87"/>
      <c r="I17" s="88"/>
      <c r="J17" s="6"/>
      <c r="K17" s="96"/>
      <c r="L17" s="96"/>
      <c r="M17" s="96"/>
      <c r="N17" s="96"/>
      <c r="O17" s="96"/>
      <c r="P17" s="17"/>
      <c r="Q17" s="84"/>
      <c r="R17" s="84"/>
      <c r="S17" s="84"/>
      <c r="T17" s="84"/>
      <c r="U17" s="84"/>
      <c r="V17" s="84"/>
      <c r="W17" s="84"/>
      <c r="X17" s="84"/>
      <c r="Y17" s="84"/>
      <c r="Z17" s="84"/>
      <c r="AA17" s="84"/>
      <c r="AB17" s="84"/>
      <c r="AC17" s="84"/>
      <c r="AD17" s="84"/>
    </row>
    <row r="18" spans="2:31" x14ac:dyDescent="0.25">
      <c r="B18" s="86" t="s">
        <v>326</v>
      </c>
      <c r="C18" s="87"/>
      <c r="D18" s="87"/>
      <c r="E18" s="87"/>
      <c r="F18" s="87"/>
      <c r="G18" s="87"/>
      <c r="H18" s="87"/>
      <c r="I18" s="88"/>
      <c r="J18" s="6"/>
      <c r="K18" s="96"/>
      <c r="L18" s="96"/>
      <c r="M18" s="96"/>
      <c r="N18" s="96"/>
      <c r="O18" s="96"/>
      <c r="P18" s="17"/>
      <c r="Q18" s="84"/>
      <c r="R18" s="84"/>
      <c r="S18" s="84"/>
      <c r="T18" s="84"/>
      <c r="U18" s="84"/>
      <c r="V18" s="84"/>
      <c r="W18" s="84"/>
      <c r="X18" s="84"/>
      <c r="Y18" s="84"/>
      <c r="Z18" s="84"/>
      <c r="AA18" s="84"/>
      <c r="AB18" s="84"/>
      <c r="AC18" s="84"/>
      <c r="AD18" s="84"/>
      <c r="AE18" s="31"/>
    </row>
    <row r="19" spans="2:31" ht="12.75" customHeight="1" x14ac:dyDescent="0.25">
      <c r="B19" s="86" t="s">
        <v>323</v>
      </c>
      <c r="C19" s="87"/>
      <c r="D19" s="87"/>
      <c r="E19" s="87"/>
      <c r="F19" s="87"/>
      <c r="G19" s="87"/>
      <c r="H19" s="87"/>
      <c r="I19" s="88"/>
      <c r="J19" s="6"/>
      <c r="K19" s="96"/>
      <c r="L19" s="96"/>
      <c r="M19" s="96"/>
      <c r="N19" s="96"/>
      <c r="O19" s="96"/>
      <c r="P19" s="17"/>
      <c r="Q19" s="84"/>
      <c r="R19" s="84"/>
      <c r="S19" s="84"/>
      <c r="T19" s="84"/>
      <c r="U19" s="84"/>
      <c r="V19" s="84"/>
      <c r="W19" s="84"/>
      <c r="X19" s="84"/>
      <c r="Y19" s="84"/>
      <c r="Z19" s="84"/>
      <c r="AA19" s="84"/>
      <c r="AB19" s="84"/>
      <c r="AC19" s="84"/>
      <c r="AD19" s="84"/>
    </row>
    <row r="20" spans="2:31" ht="13.4" customHeight="1" x14ac:dyDescent="0.25">
      <c r="B20" s="86" t="s">
        <v>324</v>
      </c>
      <c r="C20" s="87"/>
      <c r="D20" s="87"/>
      <c r="E20" s="87"/>
      <c r="F20" s="87"/>
      <c r="G20" s="87"/>
      <c r="H20" s="87"/>
      <c r="I20" s="88"/>
      <c r="J20" s="6"/>
      <c r="K20" s="96"/>
      <c r="L20" s="96"/>
      <c r="M20" s="96"/>
      <c r="N20" s="96"/>
      <c r="O20" s="96"/>
      <c r="P20" s="17"/>
      <c r="Q20" s="84"/>
      <c r="R20" s="84"/>
      <c r="S20" s="84"/>
      <c r="T20" s="84"/>
      <c r="U20" s="84"/>
      <c r="V20" s="84"/>
      <c r="W20" s="84"/>
      <c r="X20" s="84"/>
      <c r="Y20" s="84"/>
      <c r="Z20" s="84"/>
      <c r="AA20" s="84"/>
      <c r="AB20" s="84"/>
      <c r="AC20" s="84"/>
      <c r="AD20" s="84"/>
    </row>
    <row r="21" spans="2:31" ht="13.4" customHeight="1" x14ac:dyDescent="0.25">
      <c r="B21" s="86" t="s">
        <v>325</v>
      </c>
      <c r="C21" s="87"/>
      <c r="D21" s="87"/>
      <c r="E21" s="87"/>
      <c r="F21" s="87"/>
      <c r="G21" s="87"/>
      <c r="H21" s="87"/>
      <c r="I21" s="88"/>
      <c r="J21" s="6"/>
      <c r="K21" s="96"/>
      <c r="L21" s="96"/>
      <c r="M21" s="96"/>
      <c r="N21" s="96"/>
      <c r="O21" s="96"/>
      <c r="P21" s="17"/>
      <c r="Q21" s="84"/>
      <c r="R21" s="84"/>
      <c r="S21" s="84"/>
      <c r="T21" s="84"/>
      <c r="U21" s="84"/>
      <c r="V21" s="84"/>
      <c r="W21" s="84"/>
      <c r="X21" s="84"/>
      <c r="Y21" s="84"/>
      <c r="Z21" s="84"/>
      <c r="AA21" s="84"/>
      <c r="AB21" s="84"/>
      <c r="AC21" s="84"/>
      <c r="AD21" s="84"/>
    </row>
    <row r="22" spans="2:31" ht="13.4" customHeight="1" x14ac:dyDescent="0.25">
      <c r="B22" s="86"/>
      <c r="C22" s="87"/>
      <c r="D22" s="87"/>
      <c r="E22" s="87"/>
      <c r="F22" s="87"/>
      <c r="G22" s="87"/>
      <c r="H22" s="87"/>
      <c r="I22" s="88"/>
      <c r="J22" s="6"/>
      <c r="K22" s="96"/>
      <c r="L22" s="96"/>
      <c r="M22" s="96"/>
      <c r="N22" s="96"/>
      <c r="O22" s="96"/>
      <c r="P22" s="17"/>
      <c r="Q22" s="65" t="s">
        <v>225</v>
      </c>
      <c r="R22" s="66"/>
      <c r="S22" s="47" t="s">
        <v>305</v>
      </c>
      <c r="T22" s="48"/>
      <c r="U22" s="48"/>
      <c r="V22" s="48"/>
      <c r="W22" s="48"/>
      <c r="X22" s="48"/>
      <c r="Y22" s="48"/>
      <c r="Z22" s="48"/>
      <c r="AA22" s="48"/>
      <c r="AB22" s="48"/>
      <c r="AC22" s="48"/>
      <c r="AD22" s="49"/>
    </row>
    <row r="23" spans="2:31" ht="13.4" customHeight="1" x14ac:dyDescent="0.25">
      <c r="B23" s="86"/>
      <c r="C23" s="87"/>
      <c r="D23" s="87"/>
      <c r="E23" s="87"/>
      <c r="F23" s="87"/>
      <c r="G23" s="87"/>
      <c r="H23" s="87"/>
      <c r="I23" s="88"/>
      <c r="J23" s="6"/>
      <c r="K23" s="96"/>
      <c r="L23" s="96"/>
      <c r="M23" s="96"/>
      <c r="N23" s="96"/>
      <c r="O23" s="96"/>
      <c r="P23" s="17"/>
      <c r="Q23" s="67"/>
      <c r="R23" s="68"/>
      <c r="S23" s="50"/>
      <c r="T23" s="51"/>
      <c r="U23" s="51"/>
      <c r="V23" s="51"/>
      <c r="W23" s="51"/>
      <c r="X23" s="51"/>
      <c r="Y23" s="51"/>
      <c r="Z23" s="51"/>
      <c r="AA23" s="51"/>
      <c r="AB23" s="51"/>
      <c r="AC23" s="51"/>
      <c r="AD23" s="52"/>
    </row>
    <row r="24" spans="2:31" ht="13.4" customHeight="1" x14ac:dyDescent="0.25">
      <c r="B24" s="86"/>
      <c r="C24" s="87"/>
      <c r="D24" s="87"/>
      <c r="E24" s="87"/>
      <c r="F24" s="87"/>
      <c r="G24" s="87"/>
      <c r="H24" s="87"/>
      <c r="I24" s="88"/>
      <c r="J24" s="6"/>
      <c r="K24" s="96"/>
      <c r="L24" s="96"/>
      <c r="M24" s="96"/>
      <c r="N24" s="96"/>
      <c r="O24" s="96"/>
      <c r="P24" s="17"/>
      <c r="Q24" s="63" t="s">
        <v>302</v>
      </c>
      <c r="R24" s="64"/>
      <c r="S24" s="50"/>
      <c r="T24" s="51"/>
      <c r="U24" s="51"/>
      <c r="V24" s="51"/>
      <c r="W24" s="51"/>
      <c r="X24" s="51"/>
      <c r="Y24" s="51"/>
      <c r="Z24" s="51"/>
      <c r="AA24" s="51"/>
      <c r="AB24" s="51"/>
      <c r="AC24" s="51"/>
      <c r="AD24" s="52"/>
    </row>
    <row r="25" spans="2:31" ht="13.4" customHeight="1" x14ac:dyDescent="0.25">
      <c r="B25" s="69"/>
      <c r="C25" s="70"/>
      <c r="D25" s="70"/>
      <c r="E25" s="70"/>
      <c r="F25" s="70"/>
      <c r="G25" s="70"/>
      <c r="H25" s="70"/>
      <c r="I25" s="71"/>
      <c r="J25" s="6"/>
      <c r="K25" s="96"/>
      <c r="L25" s="96"/>
      <c r="M25" s="96"/>
      <c r="N25" s="96"/>
      <c r="O25" s="96"/>
      <c r="P25" s="17"/>
      <c r="Q25" s="59" t="s">
        <v>223</v>
      </c>
      <c r="R25" s="60"/>
      <c r="S25" s="50"/>
      <c r="T25" s="51"/>
      <c r="U25" s="51"/>
      <c r="V25" s="51"/>
      <c r="W25" s="51"/>
      <c r="X25" s="51"/>
      <c r="Y25" s="51"/>
      <c r="Z25" s="51"/>
      <c r="AA25" s="51"/>
      <c r="AB25" s="51"/>
      <c r="AC25" s="51"/>
      <c r="AD25" s="52"/>
    </row>
    <row r="26" spans="2:31" ht="13.4" customHeight="1" x14ac:dyDescent="0.25">
      <c r="B26" s="72"/>
      <c r="C26" s="73"/>
      <c r="D26" s="73"/>
      <c r="E26" s="73"/>
      <c r="F26" s="73"/>
      <c r="G26" s="73"/>
      <c r="H26" s="73"/>
      <c r="I26" s="74"/>
      <c r="J26" s="6"/>
      <c r="K26" s="96"/>
      <c r="L26" s="96"/>
      <c r="M26" s="96"/>
      <c r="N26" s="96"/>
      <c r="O26" s="96"/>
      <c r="P26" s="17"/>
      <c r="Q26" s="61" t="s">
        <v>224</v>
      </c>
      <c r="R26" s="62"/>
      <c r="S26" s="53"/>
      <c r="T26" s="54"/>
      <c r="U26" s="54"/>
      <c r="V26" s="54"/>
      <c r="W26" s="54"/>
      <c r="X26" s="54"/>
      <c r="Y26" s="54"/>
      <c r="Z26" s="54"/>
      <c r="AA26" s="54"/>
      <c r="AB26" s="54"/>
      <c r="AC26" s="54"/>
      <c r="AD26" s="55"/>
    </row>
    <row r="27" spans="2:31" ht="13.4" customHeight="1" x14ac:dyDescent="0.25">
      <c r="B27" s="72"/>
      <c r="C27" s="73"/>
      <c r="D27" s="73"/>
      <c r="E27" s="73"/>
      <c r="F27" s="73"/>
      <c r="G27" s="73"/>
      <c r="H27" s="73"/>
      <c r="I27" s="74"/>
      <c r="J27" s="6"/>
      <c r="K27" s="96"/>
      <c r="L27" s="96"/>
      <c r="M27" s="96"/>
      <c r="N27" s="96"/>
      <c r="O27" s="96"/>
      <c r="P27" s="17"/>
      <c r="Q27" s="75" t="s">
        <v>12</v>
      </c>
      <c r="R27" s="76"/>
      <c r="S27" s="75" t="s">
        <v>13</v>
      </c>
      <c r="T27" s="81"/>
      <c r="U27" s="81"/>
      <c r="V27" s="81"/>
      <c r="W27" s="81"/>
      <c r="X27" s="81"/>
      <c r="Y27" s="81"/>
      <c r="Z27" s="81"/>
      <c r="AA27" s="81"/>
      <c r="AB27" s="81"/>
      <c r="AC27" s="81"/>
      <c r="AD27" s="76"/>
    </row>
    <row r="28" spans="2:31" ht="13.4" customHeight="1" x14ac:dyDescent="0.25">
      <c r="B28" s="72"/>
      <c r="C28" s="73"/>
      <c r="D28" s="73"/>
      <c r="E28" s="73"/>
      <c r="F28" s="73"/>
      <c r="G28" s="73"/>
      <c r="H28" s="73"/>
      <c r="I28" s="74"/>
      <c r="J28" s="6"/>
      <c r="K28" s="96"/>
      <c r="L28" s="96"/>
      <c r="M28" s="96"/>
      <c r="N28" s="96"/>
      <c r="O28" s="96"/>
      <c r="P28" s="17"/>
      <c r="Q28" s="77"/>
      <c r="R28" s="78"/>
      <c r="S28" s="77"/>
      <c r="T28" s="82"/>
      <c r="U28" s="82"/>
      <c r="V28" s="82"/>
      <c r="W28" s="82"/>
      <c r="X28" s="82"/>
      <c r="Y28" s="82"/>
      <c r="Z28" s="82"/>
      <c r="AA28" s="82"/>
      <c r="AB28" s="82"/>
      <c r="AC28" s="82"/>
      <c r="AD28" s="78"/>
    </row>
    <row r="29" spans="2:31" ht="13.4" customHeight="1" x14ac:dyDescent="0.25">
      <c r="B29" s="72"/>
      <c r="C29" s="73"/>
      <c r="D29" s="73"/>
      <c r="E29" s="73"/>
      <c r="F29" s="73"/>
      <c r="G29" s="73"/>
      <c r="H29" s="73"/>
      <c r="I29" s="74"/>
      <c r="J29" s="6"/>
      <c r="K29" s="96"/>
      <c r="L29" s="96"/>
      <c r="M29" s="96"/>
      <c r="N29" s="96"/>
      <c r="O29" s="96"/>
      <c r="P29" s="17"/>
      <c r="Q29" s="77"/>
      <c r="R29" s="78"/>
      <c r="S29" s="77"/>
      <c r="T29" s="82"/>
      <c r="U29" s="82"/>
      <c r="V29" s="82"/>
      <c r="W29" s="82"/>
      <c r="X29" s="82"/>
      <c r="Y29" s="82"/>
      <c r="Z29" s="82"/>
      <c r="AA29" s="82"/>
      <c r="AB29" s="82"/>
      <c r="AC29" s="82"/>
      <c r="AD29" s="78"/>
    </row>
    <row r="30" spans="2:31" ht="13.4" customHeight="1" x14ac:dyDescent="0.25">
      <c r="B30" s="72"/>
      <c r="C30" s="73"/>
      <c r="D30" s="73"/>
      <c r="E30" s="73"/>
      <c r="F30" s="73"/>
      <c r="G30" s="73"/>
      <c r="H30" s="73"/>
      <c r="I30" s="74"/>
      <c r="J30" s="6"/>
      <c r="K30" s="96"/>
      <c r="L30" s="96"/>
      <c r="M30" s="96"/>
      <c r="N30" s="96"/>
      <c r="O30" s="96"/>
      <c r="P30" s="17"/>
      <c r="Q30" s="77"/>
      <c r="R30" s="78"/>
      <c r="S30" s="77"/>
      <c r="T30" s="82"/>
      <c r="U30" s="82"/>
      <c r="V30" s="82"/>
      <c r="W30" s="82"/>
      <c r="X30" s="82"/>
      <c r="Y30" s="82"/>
      <c r="Z30" s="82"/>
      <c r="AA30" s="82"/>
      <c r="AB30" s="82"/>
      <c r="AC30" s="82"/>
      <c r="AD30" s="78"/>
    </row>
    <row r="31" spans="2:31" ht="13.4" customHeight="1" x14ac:dyDescent="0.25">
      <c r="B31" s="72"/>
      <c r="C31" s="73"/>
      <c r="D31" s="73"/>
      <c r="E31" s="73"/>
      <c r="F31" s="73"/>
      <c r="G31" s="73"/>
      <c r="H31" s="73"/>
      <c r="I31" s="74"/>
      <c r="J31" s="6"/>
      <c r="K31" s="96"/>
      <c r="L31" s="96"/>
      <c r="M31" s="96"/>
      <c r="N31" s="96"/>
      <c r="O31" s="96"/>
      <c r="P31" s="17"/>
      <c r="Q31" s="79"/>
      <c r="R31" s="80"/>
      <c r="S31" s="79"/>
      <c r="T31" s="83"/>
      <c r="U31" s="83"/>
      <c r="V31" s="83"/>
      <c r="W31" s="83"/>
      <c r="X31" s="83"/>
      <c r="Y31" s="83"/>
      <c r="Z31" s="83"/>
      <c r="AA31" s="83"/>
      <c r="AB31" s="83"/>
      <c r="AC31" s="83"/>
      <c r="AD31" s="80"/>
    </row>
    <row r="32" spans="2:31" ht="13.4" customHeight="1" x14ac:dyDescent="0.25">
      <c r="B32" s="72"/>
      <c r="C32" s="73"/>
      <c r="D32" s="73"/>
      <c r="E32" s="73"/>
      <c r="F32" s="73"/>
      <c r="G32" s="73"/>
      <c r="H32" s="73"/>
      <c r="I32" s="74"/>
      <c r="J32" s="6"/>
      <c r="K32" s="96"/>
      <c r="L32" s="96"/>
      <c r="M32" s="96"/>
      <c r="N32" s="96"/>
      <c r="O32" s="96"/>
      <c r="P32" s="17"/>
      <c r="Q32" s="84" t="s">
        <v>15</v>
      </c>
      <c r="R32" s="84"/>
      <c r="S32" s="84" t="s">
        <v>306</v>
      </c>
      <c r="T32" s="84"/>
      <c r="U32" s="84"/>
      <c r="V32" s="84"/>
      <c r="W32" s="84"/>
      <c r="X32" s="84"/>
      <c r="Y32" s="84"/>
      <c r="Z32" s="84"/>
      <c r="AA32" s="84"/>
      <c r="AB32" s="84"/>
      <c r="AC32" s="84"/>
      <c r="AD32" s="84"/>
    </row>
    <row r="33" spans="2:30" ht="13.4" customHeight="1" x14ac:dyDescent="0.25">
      <c r="B33" s="72"/>
      <c r="C33" s="73"/>
      <c r="D33" s="73"/>
      <c r="E33" s="73"/>
      <c r="F33" s="73"/>
      <c r="G33" s="73"/>
      <c r="H33" s="73"/>
      <c r="I33" s="74"/>
      <c r="J33" s="6"/>
      <c r="K33" s="96"/>
      <c r="L33" s="96"/>
      <c r="M33" s="96"/>
      <c r="N33" s="96"/>
      <c r="O33" s="96"/>
      <c r="P33" s="17"/>
      <c r="Q33" s="84"/>
      <c r="R33" s="84"/>
      <c r="S33" s="84"/>
      <c r="T33" s="84"/>
      <c r="U33" s="84"/>
      <c r="V33" s="84"/>
      <c r="W33" s="84"/>
      <c r="X33" s="84"/>
      <c r="Y33" s="84"/>
      <c r="Z33" s="84"/>
      <c r="AA33" s="84"/>
      <c r="AB33" s="84"/>
      <c r="AC33" s="84"/>
      <c r="AD33" s="84"/>
    </row>
    <row r="34" spans="2:30" ht="13.4" customHeight="1" x14ac:dyDescent="0.25">
      <c r="B34" s="72"/>
      <c r="C34" s="73"/>
      <c r="D34" s="73"/>
      <c r="E34" s="73"/>
      <c r="F34" s="73"/>
      <c r="G34" s="73"/>
      <c r="H34" s="73"/>
      <c r="I34" s="74"/>
      <c r="J34" s="6"/>
      <c r="K34" s="96"/>
      <c r="L34" s="96"/>
      <c r="M34" s="96"/>
      <c r="N34" s="96"/>
      <c r="O34" s="96"/>
      <c r="P34" s="17"/>
      <c r="Q34" s="84"/>
      <c r="R34" s="84"/>
      <c r="S34" s="84"/>
      <c r="T34" s="84"/>
      <c r="U34" s="84"/>
      <c r="V34" s="84"/>
      <c r="W34" s="84"/>
      <c r="X34" s="84"/>
      <c r="Y34" s="84"/>
      <c r="Z34" s="84"/>
      <c r="AA34" s="84"/>
      <c r="AB34" s="84"/>
      <c r="AC34" s="84"/>
      <c r="AD34" s="84"/>
    </row>
    <row r="35" spans="2:30" ht="13.4" customHeight="1" x14ac:dyDescent="0.25">
      <c r="B35" s="72"/>
      <c r="C35" s="73"/>
      <c r="D35" s="73"/>
      <c r="E35" s="73"/>
      <c r="F35" s="73"/>
      <c r="G35" s="73"/>
      <c r="H35" s="73"/>
      <c r="I35" s="74"/>
      <c r="J35" s="6"/>
      <c r="K35" s="96"/>
      <c r="L35" s="96"/>
      <c r="M35" s="96"/>
      <c r="N35" s="96"/>
      <c r="O35" s="96"/>
      <c r="P35" s="17"/>
      <c r="Q35" s="84"/>
      <c r="R35" s="84"/>
      <c r="S35" s="84"/>
      <c r="T35" s="84"/>
      <c r="U35" s="84"/>
      <c r="V35" s="84"/>
      <c r="W35" s="84"/>
      <c r="X35" s="84"/>
      <c r="Y35" s="84"/>
      <c r="Z35" s="84"/>
      <c r="AA35" s="84"/>
      <c r="AB35" s="84"/>
      <c r="AC35" s="84"/>
      <c r="AD35" s="84"/>
    </row>
    <row r="36" spans="2:30" ht="13.4" customHeight="1" x14ac:dyDescent="0.25">
      <c r="B36" s="56"/>
      <c r="C36" s="57"/>
      <c r="D36" s="57"/>
      <c r="E36" s="57"/>
      <c r="F36" s="57"/>
      <c r="G36" s="57"/>
      <c r="H36" s="57"/>
      <c r="I36" s="58"/>
      <c r="J36" s="6"/>
      <c r="K36" s="96"/>
      <c r="L36" s="96"/>
      <c r="M36" s="96"/>
      <c r="N36" s="96"/>
      <c r="O36" s="96"/>
      <c r="P36" s="17"/>
      <c r="Q36" s="84"/>
      <c r="R36" s="84"/>
      <c r="S36" s="84"/>
      <c r="T36" s="84"/>
      <c r="U36" s="84"/>
      <c r="V36" s="84"/>
      <c r="W36" s="84"/>
      <c r="X36" s="84"/>
      <c r="Y36" s="84"/>
      <c r="Z36" s="84"/>
      <c r="AA36" s="84"/>
      <c r="AB36" s="84"/>
      <c r="AC36" s="84"/>
      <c r="AD36" s="84"/>
    </row>
    <row r="37" spans="2:30" ht="13.4" customHeight="1" x14ac:dyDescent="0.25">
      <c r="B37" s="56"/>
      <c r="C37" s="57"/>
      <c r="D37" s="57"/>
      <c r="E37" s="57"/>
      <c r="F37" s="57"/>
      <c r="G37" s="57"/>
      <c r="H37" s="57"/>
      <c r="I37" s="58"/>
      <c r="J37" s="6"/>
      <c r="K37" s="96"/>
      <c r="L37" s="96"/>
      <c r="M37" s="96"/>
      <c r="N37" s="96"/>
      <c r="O37" s="96"/>
      <c r="P37" s="17"/>
      <c r="Q37" s="84"/>
      <c r="R37" s="84"/>
      <c r="S37" s="84"/>
      <c r="T37" s="84"/>
      <c r="U37" s="84"/>
      <c r="V37" s="84"/>
      <c r="W37" s="84"/>
      <c r="X37" s="84"/>
      <c r="Y37" s="84"/>
      <c r="Z37" s="84"/>
      <c r="AA37" s="84"/>
      <c r="AB37" s="84"/>
      <c r="AC37" s="84"/>
      <c r="AD37" s="84"/>
    </row>
    <row r="38" spans="2:30" ht="13.4" customHeight="1" x14ac:dyDescent="0.25">
      <c r="P38" s="17"/>
    </row>
    <row r="39" spans="2:30" ht="13.4" customHeight="1" x14ac:dyDescent="0.35">
      <c r="B39" s="121" t="s">
        <v>10</v>
      </c>
      <c r="C39" s="122"/>
      <c r="D39" s="122"/>
      <c r="E39" s="122"/>
      <c r="F39" s="122"/>
      <c r="G39" s="122"/>
      <c r="H39" s="122"/>
      <c r="I39" s="122"/>
      <c r="J39" s="122"/>
      <c r="K39" s="122"/>
      <c r="L39" s="122"/>
      <c r="M39" s="122"/>
      <c r="N39" s="122"/>
      <c r="O39" s="123"/>
      <c r="P39" s="17"/>
      <c r="Q39" s="37" t="s">
        <v>310</v>
      </c>
      <c r="R39" s="37"/>
      <c r="S39" s="37"/>
      <c r="T39" s="37"/>
      <c r="U39" s="37"/>
      <c r="V39" s="37"/>
      <c r="W39" s="37"/>
      <c r="X39" s="37"/>
      <c r="Y39" s="37"/>
      <c r="Z39" s="37"/>
      <c r="AA39" s="37"/>
      <c r="AB39" s="37"/>
      <c r="AC39" s="37"/>
      <c r="AD39" s="37"/>
    </row>
    <row r="40" spans="2:30" ht="13.4" customHeight="1" x14ac:dyDescent="0.25">
      <c r="B40" s="124" t="s">
        <v>11</v>
      </c>
      <c r="C40" s="124"/>
      <c r="D40" s="124"/>
      <c r="E40" s="124"/>
      <c r="F40" s="124"/>
      <c r="G40" s="124"/>
      <c r="H40" s="124"/>
      <c r="I40" s="124"/>
      <c r="J40" s="124"/>
      <c r="K40" s="124"/>
      <c r="L40" s="124"/>
      <c r="M40" s="124"/>
      <c r="N40" s="124"/>
      <c r="O40" s="124"/>
      <c r="P40" s="17"/>
      <c r="Q40" s="38" t="s">
        <v>312</v>
      </c>
      <c r="R40" s="39"/>
      <c r="S40" s="39"/>
      <c r="T40" s="39"/>
      <c r="U40" s="39"/>
      <c r="V40" s="39"/>
      <c r="W40" s="39"/>
      <c r="X40" s="39"/>
      <c r="Y40" s="39"/>
      <c r="Z40" s="39"/>
      <c r="AA40" s="39"/>
      <c r="AB40" s="39"/>
      <c r="AC40" s="39"/>
      <c r="AD40" s="40"/>
    </row>
    <row r="41" spans="2:30" ht="13.4" customHeight="1" x14ac:dyDescent="0.25">
      <c r="B41" s="124" t="s">
        <v>14</v>
      </c>
      <c r="C41" s="124"/>
      <c r="D41" s="124"/>
      <c r="E41" s="124"/>
      <c r="F41" s="124"/>
      <c r="G41" s="124"/>
      <c r="H41" s="124"/>
      <c r="I41" s="124"/>
      <c r="J41" s="124"/>
      <c r="K41" s="124"/>
      <c r="L41" s="124"/>
      <c r="M41" s="124"/>
      <c r="N41" s="124"/>
      <c r="O41" s="124"/>
      <c r="P41" s="17"/>
      <c r="Q41" s="41" t="s">
        <v>313</v>
      </c>
      <c r="R41" s="42"/>
      <c r="S41" s="42"/>
      <c r="T41" s="42"/>
      <c r="U41" s="42"/>
      <c r="V41" s="42"/>
      <c r="W41" s="42"/>
      <c r="X41" s="42"/>
      <c r="Y41" s="42"/>
      <c r="Z41" s="42"/>
      <c r="AA41" s="42"/>
      <c r="AB41" s="42"/>
      <c r="AC41" s="42"/>
      <c r="AD41" s="43"/>
    </row>
    <row r="42" spans="2:30" ht="13.4" customHeight="1" x14ac:dyDescent="0.25">
      <c r="P42" s="4"/>
      <c r="Q42" s="41" t="s">
        <v>314</v>
      </c>
      <c r="R42" s="42"/>
      <c r="S42" s="42"/>
      <c r="T42" s="42"/>
      <c r="U42" s="42"/>
      <c r="V42" s="42"/>
      <c r="W42" s="42"/>
      <c r="X42" s="42"/>
      <c r="Y42" s="42"/>
      <c r="Z42" s="42"/>
      <c r="AA42" s="42"/>
      <c r="AB42" s="42"/>
      <c r="AC42" s="42"/>
      <c r="AD42" s="43"/>
    </row>
    <row r="43" spans="2:30" ht="13.5" customHeight="1" x14ac:dyDescent="0.3">
      <c r="Q43" s="44" t="s">
        <v>316</v>
      </c>
      <c r="R43" s="45"/>
      <c r="S43" s="45"/>
      <c r="T43" s="45"/>
      <c r="U43" s="45"/>
      <c r="V43" s="45"/>
      <c r="W43" s="45"/>
      <c r="X43" s="45"/>
      <c r="Y43" s="45"/>
      <c r="Z43" s="45"/>
      <c r="AA43" s="45"/>
      <c r="AB43" s="45"/>
      <c r="AC43" s="45"/>
      <c r="AD43" s="46"/>
    </row>
    <row r="45" spans="2:30" ht="13.4" customHeight="1" x14ac:dyDescent="0.25"/>
    <row r="46" spans="2:30" ht="12.75" customHeight="1" x14ac:dyDescent="0.25"/>
  </sheetData>
  <mergeCells count="60">
    <mergeCell ref="B30:I30"/>
    <mergeCell ref="B31:I31"/>
    <mergeCell ref="B39:O39"/>
    <mergeCell ref="B40:O40"/>
    <mergeCell ref="B41:O41"/>
    <mergeCell ref="B32:I32"/>
    <mergeCell ref="B33:I33"/>
    <mergeCell ref="B34:I34"/>
    <mergeCell ref="B35:I35"/>
    <mergeCell ref="B8:E8"/>
    <mergeCell ref="F5:I5"/>
    <mergeCell ref="B2:I3"/>
    <mergeCell ref="B5:E5"/>
    <mergeCell ref="B6:E6"/>
    <mergeCell ref="B7:E7"/>
    <mergeCell ref="F7:I7"/>
    <mergeCell ref="F8:I8"/>
    <mergeCell ref="F6:I6"/>
    <mergeCell ref="B19:I19"/>
    <mergeCell ref="B20:I20"/>
    <mergeCell ref="B21:I21"/>
    <mergeCell ref="B22:I22"/>
    <mergeCell ref="B23:I23"/>
    <mergeCell ref="B10:I10"/>
    <mergeCell ref="B15:I15"/>
    <mergeCell ref="B16:I16"/>
    <mergeCell ref="K2:O3"/>
    <mergeCell ref="Q2:AD3"/>
    <mergeCell ref="S4:AD5"/>
    <mergeCell ref="Q4:R5"/>
    <mergeCell ref="K4:O37"/>
    <mergeCell ref="B11:I14"/>
    <mergeCell ref="B17:I17"/>
    <mergeCell ref="B18:I18"/>
    <mergeCell ref="B24:I24"/>
    <mergeCell ref="S6:AD7"/>
    <mergeCell ref="Q6:R7"/>
    <mergeCell ref="Q8:R21"/>
    <mergeCell ref="S8:AD21"/>
    <mergeCell ref="S22:AD26"/>
    <mergeCell ref="B36:I36"/>
    <mergeCell ref="B37:I37"/>
    <mergeCell ref="Q25:R25"/>
    <mergeCell ref="Q26:R26"/>
    <mergeCell ref="Q24:R24"/>
    <mergeCell ref="Q22:R23"/>
    <mergeCell ref="B25:I25"/>
    <mergeCell ref="B26:I26"/>
    <mergeCell ref="B29:I29"/>
    <mergeCell ref="B27:I27"/>
    <mergeCell ref="B28:I28"/>
    <mergeCell ref="Q27:R31"/>
    <mergeCell ref="S27:AD31"/>
    <mergeCell ref="S32:AD37"/>
    <mergeCell ref="Q32:R37"/>
    <mergeCell ref="Q39:AD39"/>
    <mergeCell ref="Q40:AD40"/>
    <mergeCell ref="Q41:AD41"/>
    <mergeCell ref="Q42:AD42"/>
    <mergeCell ref="Q43:AD43"/>
  </mergeCells>
  <hyperlinks>
    <hyperlink ref="B40:O40" r:id="rId1" display=" Euroopa Liidu digiligipääsetavuse standard EN 301 549 V3.2.1 (2021-03)" xr:uid="{6CEB1003-22DC-4AFE-BE66-E58CCBA7ED38}"/>
    <hyperlink ref="B41:O41" r:id="rId2" display="WCAG 2.1 Understanding Docs" xr:uid="{E1071671-94E1-4D9B-84CA-06D38A46F792}"/>
  </hyperlinks>
  <pageMargins left="0.7" right="0.7" top="0.75" bottom="0.75" header="0.3" footer="0.3"/>
  <pageSetup paperSize="9" scale="57" orientation="landscape"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2FA0DC-2586-4424-B5B9-CF429CE84178}">
  <dimension ref="B2:AL603"/>
  <sheetViews>
    <sheetView zoomScale="90" zoomScaleNormal="90" workbookViewId="0">
      <pane ySplit="3" topLeftCell="A4" activePane="bottomLeft" state="frozen"/>
      <selection pane="bottomLeft" activeCell="O10" sqref="O10:T10"/>
    </sheetView>
  </sheetViews>
  <sheetFormatPr defaultRowHeight="12.5" x14ac:dyDescent="0.25"/>
  <cols>
    <col min="28" max="30" width="9.54296875" customWidth="1"/>
  </cols>
  <sheetData>
    <row r="2" spans="2:38" ht="12.75" customHeight="1" x14ac:dyDescent="0.25">
      <c r="B2" s="165" t="s">
        <v>308</v>
      </c>
      <c r="C2" s="165"/>
      <c r="D2" s="165"/>
      <c r="E2" s="165"/>
      <c r="F2" s="165"/>
      <c r="G2" s="165"/>
      <c r="H2" s="165"/>
      <c r="I2" s="165"/>
      <c r="J2" s="165"/>
      <c r="K2" s="165"/>
      <c r="L2" s="165"/>
      <c r="M2" s="165"/>
      <c r="N2" s="165"/>
      <c r="O2" s="165"/>
      <c r="P2" s="165"/>
      <c r="Q2" s="165"/>
      <c r="R2" s="165"/>
      <c r="S2" s="165"/>
      <c r="T2" s="165"/>
      <c r="U2" s="165"/>
      <c r="V2" s="165"/>
      <c r="W2" s="165"/>
      <c r="X2" s="11"/>
      <c r="Y2" s="163" t="s">
        <v>16</v>
      </c>
      <c r="Z2" s="163"/>
      <c r="AA2" s="164"/>
      <c r="AB2" s="164"/>
      <c r="AC2" s="164"/>
      <c r="AD2" s="164"/>
      <c r="AE2" s="11"/>
      <c r="AF2" s="11"/>
      <c r="AG2" s="11"/>
      <c r="AH2" s="11"/>
      <c r="AI2" s="11"/>
      <c r="AJ2" s="11"/>
    </row>
    <row r="3" spans="2:38" s="16" customFormat="1" ht="13.5" thickBot="1" x14ac:dyDescent="0.3">
      <c r="B3" s="166" t="s">
        <v>17</v>
      </c>
      <c r="C3" s="166"/>
      <c r="D3" s="166"/>
      <c r="E3" s="166"/>
      <c r="F3" s="166"/>
      <c r="G3" s="166"/>
      <c r="H3" s="166"/>
      <c r="I3" s="166"/>
      <c r="J3" s="166"/>
      <c r="K3" s="166"/>
      <c r="L3" s="166"/>
      <c r="M3" s="166"/>
      <c r="N3" s="166"/>
      <c r="O3" s="166" t="s">
        <v>299</v>
      </c>
      <c r="P3" s="166"/>
      <c r="Q3" s="166"/>
      <c r="R3" s="166"/>
      <c r="S3" s="166"/>
      <c r="T3" s="166"/>
      <c r="U3" s="15" t="s">
        <v>18</v>
      </c>
      <c r="V3" s="15" t="s">
        <v>19</v>
      </c>
      <c r="W3" s="15" t="s">
        <v>20</v>
      </c>
      <c r="Y3" s="127" t="s">
        <v>21</v>
      </c>
      <c r="Z3" s="127"/>
      <c r="AA3" s="127" t="s">
        <v>22</v>
      </c>
      <c r="AB3" s="127"/>
      <c r="AC3" s="127"/>
      <c r="AD3" s="127"/>
      <c r="AE3" s="127"/>
      <c r="AF3" s="127"/>
      <c r="AG3" s="127"/>
      <c r="AH3" s="127"/>
      <c r="AI3" s="127"/>
      <c r="AJ3" s="127"/>
      <c r="AK3" s="127"/>
      <c r="AL3" s="127"/>
    </row>
    <row r="4" spans="2:38" ht="13" thickTop="1" x14ac:dyDescent="0.25">
      <c r="B4" s="168" t="s">
        <v>329</v>
      </c>
      <c r="C4" s="169"/>
      <c r="D4" s="169"/>
      <c r="E4" s="169"/>
      <c r="F4" s="169"/>
      <c r="G4" s="169"/>
      <c r="H4" s="169"/>
      <c r="I4" s="169"/>
      <c r="J4" s="169"/>
      <c r="K4" s="169"/>
      <c r="L4" s="169"/>
      <c r="M4" s="169"/>
      <c r="N4" s="169"/>
      <c r="O4" s="167" t="s">
        <v>219</v>
      </c>
      <c r="P4" s="167"/>
      <c r="Q4" s="167"/>
      <c r="R4" s="167"/>
      <c r="S4" s="167"/>
      <c r="T4" s="167"/>
      <c r="U4" s="13"/>
      <c r="V4" s="14" t="e">
        <f>U4/$W4</f>
        <v>#DIV/0!</v>
      </c>
      <c r="W4" s="13"/>
      <c r="Y4" s="156"/>
      <c r="Z4" s="157"/>
      <c r="AA4" s="128"/>
      <c r="AB4" s="129"/>
      <c r="AC4" s="129"/>
      <c r="AD4" s="129"/>
      <c r="AE4" s="129"/>
      <c r="AF4" s="129"/>
      <c r="AG4" s="129"/>
      <c r="AH4" s="129"/>
      <c r="AI4" s="129"/>
      <c r="AJ4" s="129"/>
      <c r="AK4" s="129"/>
      <c r="AL4" s="130"/>
    </row>
    <row r="5" spans="2:38" x14ac:dyDescent="0.25">
      <c r="B5" s="124" t="s">
        <v>329</v>
      </c>
      <c r="C5" s="153"/>
      <c r="D5" s="153"/>
      <c r="E5" s="153"/>
      <c r="F5" s="153"/>
      <c r="G5" s="153"/>
      <c r="H5" s="153"/>
      <c r="I5" s="153"/>
      <c r="J5" s="153"/>
      <c r="K5" s="153"/>
      <c r="L5" s="153"/>
      <c r="M5" s="153"/>
      <c r="N5" s="153"/>
      <c r="O5" s="154" t="s">
        <v>330</v>
      </c>
      <c r="P5" s="154"/>
      <c r="Q5" s="154"/>
      <c r="R5" s="154"/>
      <c r="S5" s="154"/>
      <c r="T5" s="154"/>
      <c r="U5" s="10"/>
      <c r="V5" s="14" t="e">
        <f t="shared" ref="V5:V24" si="0">U5/$W5</f>
        <v>#DIV/0!</v>
      </c>
      <c r="W5" s="13"/>
      <c r="Y5" s="139"/>
      <c r="Z5" s="140"/>
      <c r="AA5" s="131"/>
      <c r="AB5" s="132"/>
      <c r="AC5" s="132"/>
      <c r="AD5" s="132"/>
      <c r="AE5" s="132"/>
      <c r="AF5" s="132"/>
      <c r="AG5" s="132"/>
      <c r="AH5" s="132"/>
      <c r="AI5" s="132"/>
      <c r="AJ5" s="132"/>
      <c r="AK5" s="132"/>
      <c r="AL5" s="133"/>
    </row>
    <row r="6" spans="2:38" x14ac:dyDescent="0.25">
      <c r="B6" s="124" t="s">
        <v>329</v>
      </c>
      <c r="C6" s="153"/>
      <c r="D6" s="153"/>
      <c r="E6" s="153"/>
      <c r="F6" s="153"/>
      <c r="G6" s="153"/>
      <c r="H6" s="153"/>
      <c r="I6" s="153"/>
      <c r="J6" s="153"/>
      <c r="K6" s="153"/>
      <c r="L6" s="153"/>
      <c r="M6" s="153"/>
      <c r="N6" s="153"/>
      <c r="O6" s="154" t="s">
        <v>378</v>
      </c>
      <c r="P6" s="154"/>
      <c r="Q6" s="154"/>
      <c r="R6" s="154"/>
      <c r="S6" s="154"/>
      <c r="T6" s="154"/>
      <c r="U6" s="10"/>
      <c r="V6" s="14" t="e">
        <f t="shared" si="0"/>
        <v>#DIV/0!</v>
      </c>
      <c r="W6" s="13"/>
      <c r="Y6" s="139"/>
      <c r="Z6" s="140"/>
      <c r="AA6" s="131"/>
      <c r="AB6" s="132"/>
      <c r="AC6" s="132"/>
      <c r="AD6" s="132"/>
      <c r="AE6" s="132"/>
      <c r="AF6" s="132"/>
      <c r="AG6" s="132"/>
      <c r="AH6" s="132"/>
      <c r="AI6" s="132"/>
      <c r="AJ6" s="132"/>
      <c r="AK6" s="132"/>
      <c r="AL6" s="133"/>
    </row>
    <row r="7" spans="2:38" x14ac:dyDescent="0.25">
      <c r="B7" s="124" t="s">
        <v>329</v>
      </c>
      <c r="C7" s="153"/>
      <c r="D7" s="153"/>
      <c r="E7" s="153"/>
      <c r="F7" s="153"/>
      <c r="G7" s="153"/>
      <c r="H7" s="153"/>
      <c r="I7" s="153"/>
      <c r="J7" s="153"/>
      <c r="K7" s="153"/>
      <c r="L7" s="153"/>
      <c r="M7" s="153"/>
      <c r="N7" s="153"/>
      <c r="O7" s="154" t="s">
        <v>221</v>
      </c>
      <c r="P7" s="154"/>
      <c r="Q7" s="154"/>
      <c r="R7" s="154"/>
      <c r="S7" s="154"/>
      <c r="T7" s="154"/>
      <c r="U7" s="10"/>
      <c r="V7" s="14" t="e">
        <f t="shared" si="0"/>
        <v>#DIV/0!</v>
      </c>
      <c r="W7" s="13"/>
      <c r="Y7" s="139"/>
      <c r="Z7" s="140"/>
      <c r="AA7" s="131"/>
      <c r="AB7" s="132"/>
      <c r="AC7" s="132"/>
      <c r="AD7" s="132"/>
      <c r="AE7" s="132"/>
      <c r="AF7" s="132"/>
      <c r="AG7" s="132"/>
      <c r="AH7" s="132"/>
      <c r="AI7" s="132"/>
      <c r="AJ7" s="132"/>
      <c r="AK7" s="132"/>
      <c r="AL7" s="133"/>
    </row>
    <row r="8" spans="2:38" x14ac:dyDescent="0.25">
      <c r="B8" s="124" t="s">
        <v>329</v>
      </c>
      <c r="C8" s="153"/>
      <c r="D8" s="153"/>
      <c r="E8" s="153"/>
      <c r="F8" s="153"/>
      <c r="G8" s="153"/>
      <c r="H8" s="153"/>
      <c r="I8" s="153"/>
      <c r="J8" s="153"/>
      <c r="K8" s="153"/>
      <c r="L8" s="153"/>
      <c r="M8" s="153"/>
      <c r="N8" s="153"/>
      <c r="O8" s="154" t="s">
        <v>332</v>
      </c>
      <c r="P8" s="154"/>
      <c r="Q8" s="154"/>
      <c r="R8" s="154"/>
      <c r="S8" s="154"/>
      <c r="T8" s="154"/>
      <c r="U8" s="10"/>
      <c r="V8" s="14" t="e">
        <f t="shared" si="0"/>
        <v>#DIV/0!</v>
      </c>
      <c r="W8" s="13"/>
      <c r="Y8" s="139"/>
      <c r="Z8" s="140"/>
      <c r="AA8" s="131"/>
      <c r="AB8" s="132"/>
      <c r="AC8" s="132"/>
      <c r="AD8" s="132"/>
      <c r="AE8" s="132"/>
      <c r="AF8" s="132"/>
      <c r="AG8" s="132"/>
      <c r="AH8" s="132"/>
      <c r="AI8" s="132"/>
      <c r="AJ8" s="132"/>
      <c r="AK8" s="132"/>
      <c r="AL8" s="133"/>
    </row>
    <row r="9" spans="2:38" x14ac:dyDescent="0.25">
      <c r="B9" s="124" t="s">
        <v>329</v>
      </c>
      <c r="C9" s="153"/>
      <c r="D9" s="153"/>
      <c r="E9" s="153"/>
      <c r="F9" s="153"/>
      <c r="G9" s="153"/>
      <c r="H9" s="153"/>
      <c r="I9" s="153"/>
      <c r="J9" s="153"/>
      <c r="K9" s="153"/>
      <c r="L9" s="153"/>
      <c r="M9" s="153"/>
      <c r="N9" s="153"/>
      <c r="O9" s="154" t="s">
        <v>309</v>
      </c>
      <c r="P9" s="154"/>
      <c r="Q9" s="154"/>
      <c r="R9" s="154"/>
      <c r="S9" s="154"/>
      <c r="T9" s="154"/>
      <c r="U9" s="10"/>
      <c r="V9" s="14" t="e">
        <f t="shared" si="0"/>
        <v>#DIV/0!</v>
      </c>
      <c r="W9" s="13"/>
      <c r="Y9" s="139"/>
      <c r="Z9" s="140"/>
      <c r="AA9" s="131"/>
      <c r="AB9" s="132"/>
      <c r="AC9" s="132"/>
      <c r="AD9" s="132"/>
      <c r="AE9" s="132"/>
      <c r="AF9" s="132"/>
      <c r="AG9" s="132"/>
      <c r="AH9" s="132"/>
      <c r="AI9" s="132"/>
      <c r="AJ9" s="132"/>
      <c r="AK9" s="132"/>
      <c r="AL9" s="133"/>
    </row>
    <row r="10" spans="2:38" x14ac:dyDescent="0.25">
      <c r="B10" s="124" t="s">
        <v>329</v>
      </c>
      <c r="C10" s="153"/>
      <c r="D10" s="153"/>
      <c r="E10" s="153"/>
      <c r="F10" s="153"/>
      <c r="G10" s="153"/>
      <c r="H10" s="153"/>
      <c r="I10" s="153"/>
      <c r="J10" s="153"/>
      <c r="K10" s="153"/>
      <c r="L10" s="153"/>
      <c r="M10" s="153"/>
      <c r="N10" s="153"/>
      <c r="O10" s="154" t="s">
        <v>388</v>
      </c>
      <c r="P10" s="154"/>
      <c r="Q10" s="154"/>
      <c r="R10" s="154"/>
      <c r="S10" s="154"/>
      <c r="T10" s="154"/>
      <c r="U10" s="10"/>
      <c r="V10" s="14" t="e">
        <f t="shared" si="0"/>
        <v>#DIV/0!</v>
      </c>
      <c r="W10" s="13"/>
      <c r="Y10" s="139"/>
      <c r="Z10" s="140"/>
      <c r="AA10" s="131"/>
      <c r="AB10" s="132"/>
      <c r="AC10" s="132"/>
      <c r="AD10" s="132"/>
      <c r="AE10" s="132"/>
      <c r="AF10" s="132"/>
      <c r="AG10" s="132"/>
      <c r="AH10" s="132"/>
      <c r="AI10" s="132"/>
      <c r="AJ10" s="132"/>
      <c r="AK10" s="132"/>
      <c r="AL10" s="133"/>
    </row>
    <row r="11" spans="2:38" x14ac:dyDescent="0.25">
      <c r="B11" s="124" t="s">
        <v>329</v>
      </c>
      <c r="C11" s="153"/>
      <c r="D11" s="153"/>
      <c r="E11" s="153"/>
      <c r="F11" s="153"/>
      <c r="G11" s="153"/>
      <c r="H11" s="153"/>
      <c r="I11" s="153"/>
      <c r="J11" s="153"/>
      <c r="K11" s="153"/>
      <c r="L11" s="153"/>
      <c r="M11" s="153"/>
      <c r="N11" s="153"/>
      <c r="O11" s="154" t="s">
        <v>331</v>
      </c>
      <c r="P11" s="154"/>
      <c r="Q11" s="154"/>
      <c r="R11" s="154"/>
      <c r="S11" s="154"/>
      <c r="T11" s="154"/>
      <c r="U11" s="10"/>
      <c r="V11" s="14" t="e">
        <f t="shared" si="0"/>
        <v>#DIV/0!</v>
      </c>
      <c r="W11" s="13"/>
      <c r="Y11" s="139"/>
      <c r="Z11" s="140"/>
      <c r="AA11" s="131"/>
      <c r="AB11" s="132"/>
      <c r="AC11" s="132"/>
      <c r="AD11" s="132"/>
      <c r="AE11" s="132"/>
      <c r="AF11" s="132"/>
      <c r="AG11" s="132"/>
      <c r="AH11" s="132"/>
      <c r="AI11" s="132"/>
      <c r="AJ11" s="132"/>
      <c r="AK11" s="132"/>
      <c r="AL11" s="133"/>
    </row>
    <row r="12" spans="2:38" x14ac:dyDescent="0.25">
      <c r="B12" s="153"/>
      <c r="C12" s="153"/>
      <c r="D12" s="153"/>
      <c r="E12" s="153"/>
      <c r="F12" s="153"/>
      <c r="G12" s="153"/>
      <c r="H12" s="153"/>
      <c r="I12" s="153"/>
      <c r="J12" s="153"/>
      <c r="K12" s="153"/>
      <c r="L12" s="153"/>
      <c r="M12" s="153"/>
      <c r="N12" s="153"/>
      <c r="O12" s="154"/>
      <c r="P12" s="154"/>
      <c r="Q12" s="154"/>
      <c r="R12" s="154"/>
      <c r="S12" s="154"/>
      <c r="T12" s="154"/>
      <c r="U12" s="10"/>
      <c r="V12" s="14" t="e">
        <f t="shared" si="0"/>
        <v>#DIV/0!</v>
      </c>
      <c r="W12" s="13"/>
      <c r="Y12" s="139"/>
      <c r="Z12" s="140"/>
      <c r="AA12" s="131"/>
      <c r="AB12" s="132"/>
      <c r="AC12" s="132"/>
      <c r="AD12" s="132"/>
      <c r="AE12" s="132"/>
      <c r="AF12" s="132"/>
      <c r="AG12" s="132"/>
      <c r="AH12" s="132"/>
      <c r="AI12" s="132"/>
      <c r="AJ12" s="132"/>
      <c r="AK12" s="132"/>
      <c r="AL12" s="133"/>
    </row>
    <row r="13" spans="2:38" x14ac:dyDescent="0.25">
      <c r="B13" s="153"/>
      <c r="C13" s="153"/>
      <c r="D13" s="153"/>
      <c r="E13" s="153"/>
      <c r="F13" s="153"/>
      <c r="G13" s="153"/>
      <c r="H13" s="153"/>
      <c r="I13" s="153"/>
      <c r="J13" s="153"/>
      <c r="K13" s="153"/>
      <c r="L13" s="153"/>
      <c r="M13" s="153"/>
      <c r="N13" s="153"/>
      <c r="O13" s="154"/>
      <c r="P13" s="154"/>
      <c r="Q13" s="154"/>
      <c r="R13" s="154"/>
      <c r="S13" s="154"/>
      <c r="T13" s="154"/>
      <c r="U13" s="10"/>
      <c r="V13" s="14" t="e">
        <f t="shared" si="0"/>
        <v>#DIV/0!</v>
      </c>
      <c r="W13" s="10"/>
      <c r="Y13" s="139"/>
      <c r="Z13" s="140"/>
      <c r="AA13" s="131"/>
      <c r="AB13" s="132"/>
      <c r="AC13" s="132"/>
      <c r="AD13" s="132"/>
      <c r="AE13" s="132"/>
      <c r="AF13" s="132"/>
      <c r="AG13" s="132"/>
      <c r="AH13" s="132"/>
      <c r="AI13" s="132"/>
      <c r="AJ13" s="132"/>
      <c r="AK13" s="132"/>
      <c r="AL13" s="133"/>
    </row>
    <row r="14" spans="2:38" x14ac:dyDescent="0.25">
      <c r="B14" s="153"/>
      <c r="C14" s="153"/>
      <c r="D14" s="153"/>
      <c r="E14" s="153"/>
      <c r="F14" s="153"/>
      <c r="G14" s="153"/>
      <c r="H14" s="153"/>
      <c r="I14" s="153"/>
      <c r="J14" s="153"/>
      <c r="K14" s="153"/>
      <c r="L14" s="153"/>
      <c r="M14" s="153"/>
      <c r="N14" s="153"/>
      <c r="O14" s="154"/>
      <c r="P14" s="154"/>
      <c r="Q14" s="154"/>
      <c r="R14" s="154"/>
      <c r="S14" s="154"/>
      <c r="T14" s="154"/>
      <c r="U14" s="10"/>
      <c r="V14" s="14" t="e">
        <f t="shared" si="0"/>
        <v>#DIV/0!</v>
      </c>
      <c r="W14" s="10"/>
      <c r="Y14" s="139"/>
      <c r="Z14" s="140"/>
      <c r="AA14" s="131"/>
      <c r="AB14" s="132"/>
      <c r="AC14" s="132"/>
      <c r="AD14" s="132"/>
      <c r="AE14" s="132"/>
      <c r="AF14" s="132"/>
      <c r="AG14" s="132"/>
      <c r="AH14" s="132"/>
      <c r="AI14" s="132"/>
      <c r="AJ14" s="132"/>
      <c r="AK14" s="132"/>
      <c r="AL14" s="133"/>
    </row>
    <row r="15" spans="2:38" x14ac:dyDescent="0.25">
      <c r="B15" s="153"/>
      <c r="C15" s="153"/>
      <c r="D15" s="153"/>
      <c r="E15" s="153"/>
      <c r="F15" s="153"/>
      <c r="G15" s="153"/>
      <c r="H15" s="153"/>
      <c r="I15" s="153"/>
      <c r="J15" s="153"/>
      <c r="K15" s="153"/>
      <c r="L15" s="153"/>
      <c r="M15" s="153"/>
      <c r="N15" s="153"/>
      <c r="O15" s="154"/>
      <c r="P15" s="154"/>
      <c r="Q15" s="154"/>
      <c r="R15" s="154"/>
      <c r="S15" s="154"/>
      <c r="T15" s="154"/>
      <c r="U15" s="10"/>
      <c r="V15" s="14" t="e">
        <f t="shared" si="0"/>
        <v>#DIV/0!</v>
      </c>
      <c r="W15" s="10"/>
      <c r="Y15" s="139"/>
      <c r="Z15" s="140"/>
      <c r="AA15" s="131"/>
      <c r="AB15" s="132"/>
      <c r="AC15" s="132"/>
      <c r="AD15" s="132"/>
      <c r="AE15" s="132"/>
      <c r="AF15" s="132"/>
      <c r="AG15" s="132"/>
      <c r="AH15" s="132"/>
      <c r="AI15" s="132"/>
      <c r="AJ15" s="132"/>
      <c r="AK15" s="132"/>
      <c r="AL15" s="133"/>
    </row>
    <row r="16" spans="2:38" x14ac:dyDescent="0.25">
      <c r="B16" s="153"/>
      <c r="C16" s="153"/>
      <c r="D16" s="153"/>
      <c r="E16" s="153"/>
      <c r="F16" s="153"/>
      <c r="G16" s="153"/>
      <c r="H16" s="153"/>
      <c r="I16" s="153"/>
      <c r="J16" s="153"/>
      <c r="K16" s="153"/>
      <c r="L16" s="153"/>
      <c r="M16" s="153"/>
      <c r="N16" s="153"/>
      <c r="O16" s="154"/>
      <c r="P16" s="154"/>
      <c r="Q16" s="154"/>
      <c r="R16" s="154"/>
      <c r="S16" s="154"/>
      <c r="T16" s="154"/>
      <c r="U16" s="10"/>
      <c r="V16" s="14" t="e">
        <f t="shared" si="0"/>
        <v>#DIV/0!</v>
      </c>
      <c r="W16" s="10"/>
      <c r="Y16" s="139"/>
      <c r="Z16" s="140"/>
      <c r="AA16" s="131"/>
      <c r="AB16" s="132"/>
      <c r="AC16" s="132"/>
      <c r="AD16" s="132"/>
      <c r="AE16" s="132"/>
      <c r="AF16" s="132"/>
      <c r="AG16" s="132"/>
      <c r="AH16" s="132"/>
      <c r="AI16" s="132"/>
      <c r="AJ16" s="132"/>
      <c r="AK16" s="132"/>
      <c r="AL16" s="133"/>
    </row>
    <row r="17" spans="2:38" x14ac:dyDescent="0.25">
      <c r="B17" s="149"/>
      <c r="C17" s="149"/>
      <c r="D17" s="149"/>
      <c r="E17" s="149"/>
      <c r="F17" s="149"/>
      <c r="G17" s="149"/>
      <c r="H17" s="149"/>
      <c r="I17" s="149"/>
      <c r="J17" s="149"/>
      <c r="K17" s="149"/>
      <c r="L17" s="149"/>
      <c r="M17" s="149"/>
      <c r="N17" s="149"/>
      <c r="O17" s="154"/>
      <c r="P17" s="154"/>
      <c r="Q17" s="154"/>
      <c r="R17" s="154"/>
      <c r="S17" s="154"/>
      <c r="T17" s="154"/>
      <c r="U17" s="10"/>
      <c r="V17" s="14" t="e">
        <f t="shared" si="0"/>
        <v>#DIV/0!</v>
      </c>
      <c r="W17" s="10"/>
      <c r="Y17" s="139"/>
      <c r="Z17" s="140"/>
      <c r="AA17" s="131"/>
      <c r="AB17" s="132"/>
      <c r="AC17" s="132"/>
      <c r="AD17" s="132"/>
      <c r="AE17" s="132"/>
      <c r="AF17" s="132"/>
      <c r="AG17" s="132"/>
      <c r="AH17" s="132"/>
      <c r="AI17" s="132"/>
      <c r="AJ17" s="132"/>
      <c r="AK17" s="132"/>
      <c r="AL17" s="133"/>
    </row>
    <row r="18" spans="2:38" x14ac:dyDescent="0.25">
      <c r="B18" s="149"/>
      <c r="C18" s="149"/>
      <c r="D18" s="149"/>
      <c r="E18" s="149"/>
      <c r="F18" s="149"/>
      <c r="G18" s="149"/>
      <c r="H18" s="149"/>
      <c r="I18" s="149"/>
      <c r="J18" s="149"/>
      <c r="K18" s="149"/>
      <c r="L18" s="149"/>
      <c r="M18" s="149"/>
      <c r="N18" s="149"/>
      <c r="O18" s="154"/>
      <c r="P18" s="154"/>
      <c r="Q18" s="154"/>
      <c r="R18" s="154"/>
      <c r="S18" s="154"/>
      <c r="T18" s="154"/>
      <c r="U18" s="10"/>
      <c r="V18" s="14" t="e">
        <f t="shared" si="0"/>
        <v>#DIV/0!</v>
      </c>
      <c r="W18" s="10"/>
      <c r="Y18" s="139"/>
      <c r="Z18" s="140"/>
      <c r="AA18" s="131"/>
      <c r="AB18" s="132"/>
      <c r="AC18" s="132"/>
      <c r="AD18" s="132"/>
      <c r="AE18" s="132"/>
      <c r="AF18" s="132"/>
      <c r="AG18" s="132"/>
      <c r="AH18" s="132"/>
      <c r="AI18" s="132"/>
      <c r="AJ18" s="132"/>
      <c r="AK18" s="132"/>
      <c r="AL18" s="133"/>
    </row>
    <row r="19" spans="2:38" x14ac:dyDescent="0.25">
      <c r="B19" s="149"/>
      <c r="C19" s="149"/>
      <c r="D19" s="149"/>
      <c r="E19" s="149"/>
      <c r="F19" s="149"/>
      <c r="G19" s="149"/>
      <c r="H19" s="149"/>
      <c r="I19" s="149"/>
      <c r="J19" s="149"/>
      <c r="K19" s="149"/>
      <c r="L19" s="149"/>
      <c r="M19" s="149"/>
      <c r="N19" s="149"/>
      <c r="O19" s="154"/>
      <c r="P19" s="154"/>
      <c r="Q19" s="154"/>
      <c r="R19" s="154"/>
      <c r="S19" s="154"/>
      <c r="T19" s="154"/>
      <c r="U19" s="10"/>
      <c r="V19" s="14" t="e">
        <f t="shared" si="0"/>
        <v>#DIV/0!</v>
      </c>
      <c r="W19" s="10"/>
      <c r="Y19" s="139"/>
      <c r="Z19" s="140"/>
      <c r="AA19" s="131"/>
      <c r="AB19" s="132"/>
      <c r="AC19" s="132"/>
      <c r="AD19" s="132"/>
      <c r="AE19" s="132"/>
      <c r="AF19" s="132"/>
      <c r="AG19" s="132"/>
      <c r="AH19" s="132"/>
      <c r="AI19" s="132"/>
      <c r="AJ19" s="132"/>
      <c r="AK19" s="132"/>
      <c r="AL19" s="133"/>
    </row>
    <row r="20" spans="2:38" x14ac:dyDescent="0.25">
      <c r="B20" s="149"/>
      <c r="C20" s="149"/>
      <c r="D20" s="149"/>
      <c r="E20" s="149"/>
      <c r="F20" s="149"/>
      <c r="G20" s="149"/>
      <c r="H20" s="149"/>
      <c r="I20" s="149"/>
      <c r="J20" s="149"/>
      <c r="K20" s="149"/>
      <c r="L20" s="149"/>
      <c r="M20" s="149"/>
      <c r="N20" s="149"/>
      <c r="O20" s="154"/>
      <c r="P20" s="154"/>
      <c r="Q20" s="154"/>
      <c r="R20" s="154"/>
      <c r="S20" s="154"/>
      <c r="T20" s="154"/>
      <c r="U20" s="10"/>
      <c r="V20" s="14" t="e">
        <f t="shared" si="0"/>
        <v>#DIV/0!</v>
      </c>
      <c r="W20" s="10"/>
      <c r="Y20" s="139"/>
      <c r="Z20" s="140"/>
      <c r="AA20" s="131"/>
      <c r="AB20" s="132"/>
      <c r="AC20" s="132"/>
      <c r="AD20" s="132"/>
      <c r="AE20" s="132"/>
      <c r="AF20" s="132"/>
      <c r="AG20" s="132"/>
      <c r="AH20" s="132"/>
      <c r="AI20" s="132"/>
      <c r="AJ20" s="132"/>
      <c r="AK20" s="132"/>
      <c r="AL20" s="133"/>
    </row>
    <row r="21" spans="2:38" x14ac:dyDescent="0.25">
      <c r="B21" s="149"/>
      <c r="C21" s="149"/>
      <c r="D21" s="149"/>
      <c r="E21" s="149"/>
      <c r="F21" s="149"/>
      <c r="G21" s="149"/>
      <c r="H21" s="149"/>
      <c r="I21" s="149"/>
      <c r="J21" s="149"/>
      <c r="K21" s="149"/>
      <c r="L21" s="149"/>
      <c r="M21" s="149"/>
      <c r="N21" s="149"/>
      <c r="O21" s="154"/>
      <c r="P21" s="154"/>
      <c r="Q21" s="154"/>
      <c r="R21" s="154"/>
      <c r="S21" s="154"/>
      <c r="T21" s="154"/>
      <c r="U21" s="10"/>
      <c r="V21" s="14" t="e">
        <f t="shared" si="0"/>
        <v>#DIV/0!</v>
      </c>
      <c r="W21" s="10"/>
      <c r="Y21" s="139"/>
      <c r="Z21" s="140"/>
      <c r="AA21" s="131"/>
      <c r="AB21" s="132"/>
      <c r="AC21" s="132"/>
      <c r="AD21" s="132"/>
      <c r="AE21" s="132"/>
      <c r="AF21" s="132"/>
      <c r="AG21" s="132"/>
      <c r="AH21" s="132"/>
      <c r="AI21" s="132"/>
      <c r="AJ21" s="132"/>
      <c r="AK21" s="132"/>
      <c r="AL21" s="133"/>
    </row>
    <row r="22" spans="2:38" x14ac:dyDescent="0.25">
      <c r="B22" s="149"/>
      <c r="C22" s="149"/>
      <c r="D22" s="149"/>
      <c r="E22" s="149"/>
      <c r="F22" s="149"/>
      <c r="G22" s="149"/>
      <c r="H22" s="149"/>
      <c r="I22" s="149"/>
      <c r="J22" s="149"/>
      <c r="K22" s="149"/>
      <c r="L22" s="149"/>
      <c r="M22" s="149"/>
      <c r="N22" s="149"/>
      <c r="O22" s="154"/>
      <c r="P22" s="154"/>
      <c r="Q22" s="154"/>
      <c r="R22" s="154"/>
      <c r="S22" s="154"/>
      <c r="T22" s="154"/>
      <c r="U22" s="10"/>
      <c r="V22" s="14" t="e">
        <f t="shared" si="0"/>
        <v>#DIV/0!</v>
      </c>
      <c r="W22" s="10"/>
      <c r="Y22" s="139"/>
      <c r="Z22" s="140"/>
      <c r="AA22" s="131"/>
      <c r="AB22" s="132"/>
      <c r="AC22" s="132"/>
      <c r="AD22" s="132"/>
      <c r="AE22" s="132"/>
      <c r="AF22" s="132"/>
      <c r="AG22" s="132"/>
      <c r="AH22" s="132"/>
      <c r="AI22" s="132"/>
      <c r="AJ22" s="132"/>
      <c r="AK22" s="132"/>
      <c r="AL22" s="133"/>
    </row>
    <row r="23" spans="2:38" x14ac:dyDescent="0.25">
      <c r="B23" s="149"/>
      <c r="C23" s="149"/>
      <c r="D23" s="149"/>
      <c r="E23" s="149"/>
      <c r="F23" s="149"/>
      <c r="G23" s="149"/>
      <c r="H23" s="149"/>
      <c r="I23" s="149"/>
      <c r="J23" s="149"/>
      <c r="K23" s="149"/>
      <c r="L23" s="149"/>
      <c r="M23" s="149"/>
      <c r="N23" s="149"/>
      <c r="O23" s="154"/>
      <c r="P23" s="154"/>
      <c r="Q23" s="154"/>
      <c r="R23" s="154"/>
      <c r="S23" s="154"/>
      <c r="T23" s="154"/>
      <c r="U23" s="10"/>
      <c r="V23" s="14" t="e">
        <f t="shared" si="0"/>
        <v>#DIV/0!</v>
      </c>
      <c r="W23" s="10"/>
      <c r="Y23" s="139"/>
      <c r="Z23" s="140"/>
      <c r="AA23" s="131"/>
      <c r="AB23" s="132"/>
      <c r="AC23" s="132"/>
      <c r="AD23" s="132"/>
      <c r="AE23" s="132"/>
      <c r="AF23" s="132"/>
      <c r="AG23" s="132"/>
      <c r="AH23" s="132"/>
      <c r="AI23" s="132"/>
      <c r="AJ23" s="132"/>
      <c r="AK23" s="132"/>
      <c r="AL23" s="133"/>
    </row>
    <row r="24" spans="2:38" ht="13" x14ac:dyDescent="0.25">
      <c r="B24" s="159" t="s">
        <v>23</v>
      </c>
      <c r="C24" s="160"/>
      <c r="D24" s="160"/>
      <c r="E24" s="160"/>
      <c r="F24" s="160"/>
      <c r="G24" s="160"/>
      <c r="H24" s="160"/>
      <c r="I24" s="160"/>
      <c r="J24" s="160"/>
      <c r="K24" s="161"/>
      <c r="L24" s="158">
        <v>8</v>
      </c>
      <c r="M24" s="158"/>
      <c r="N24" s="158"/>
      <c r="O24" s="150" t="s">
        <v>307</v>
      </c>
      <c r="P24" s="151"/>
      <c r="Q24" s="151"/>
      <c r="R24" s="151"/>
      <c r="S24" s="151"/>
      <c r="T24" s="152"/>
      <c r="U24" s="12">
        <f>SUM(U4:U23)</f>
        <v>0</v>
      </c>
      <c r="V24" s="23" t="e">
        <f t="shared" si="0"/>
        <v>#DIV/0!</v>
      </c>
      <c r="W24" s="12">
        <f>SUM(W4:W23)</f>
        <v>0</v>
      </c>
      <c r="Y24" s="139"/>
      <c r="Z24" s="140"/>
      <c r="AA24" s="131"/>
      <c r="AB24" s="132"/>
      <c r="AC24" s="132"/>
      <c r="AD24" s="132"/>
      <c r="AE24" s="132"/>
      <c r="AF24" s="132"/>
      <c r="AG24" s="132"/>
      <c r="AH24" s="132"/>
      <c r="AI24" s="132"/>
      <c r="AJ24" s="132"/>
      <c r="AK24" s="132"/>
      <c r="AL24" s="133"/>
    </row>
    <row r="25" spans="2:38" x14ac:dyDescent="0.25">
      <c r="B25" s="162" t="s">
        <v>298</v>
      </c>
      <c r="C25" s="162"/>
      <c r="D25" s="162"/>
      <c r="E25" s="162"/>
      <c r="F25" s="162"/>
      <c r="G25" s="162"/>
      <c r="H25" s="162"/>
      <c r="I25" s="162"/>
      <c r="J25" s="162"/>
      <c r="K25" s="162"/>
      <c r="L25" s="162"/>
      <c r="M25" s="162"/>
      <c r="N25" s="162"/>
      <c r="O25" s="162"/>
      <c r="P25" s="162"/>
      <c r="Q25" s="162"/>
      <c r="R25" s="162"/>
      <c r="S25" s="162"/>
      <c r="T25" s="162"/>
      <c r="U25" s="162"/>
      <c r="V25" s="162"/>
      <c r="W25" s="162"/>
      <c r="X25" s="11"/>
      <c r="Y25" s="139"/>
      <c r="Z25" s="140"/>
      <c r="AA25" s="131"/>
      <c r="AB25" s="132"/>
      <c r="AC25" s="132"/>
      <c r="AD25" s="132"/>
      <c r="AE25" s="132"/>
      <c r="AF25" s="132"/>
      <c r="AG25" s="132"/>
      <c r="AH25" s="132"/>
      <c r="AI25" s="132"/>
      <c r="AJ25" s="132"/>
      <c r="AK25" s="132"/>
      <c r="AL25" s="133"/>
    </row>
    <row r="26" spans="2:38" ht="12.75" customHeight="1" x14ac:dyDescent="0.25">
      <c r="B26" s="162"/>
      <c r="C26" s="162"/>
      <c r="D26" s="162"/>
      <c r="E26" s="162"/>
      <c r="F26" s="162"/>
      <c r="G26" s="162"/>
      <c r="H26" s="162"/>
      <c r="I26" s="162"/>
      <c r="J26" s="162"/>
      <c r="K26" s="162"/>
      <c r="L26" s="162"/>
      <c r="M26" s="162"/>
      <c r="N26" s="162"/>
      <c r="O26" s="162"/>
      <c r="P26" s="162"/>
      <c r="Q26" s="162"/>
      <c r="R26" s="162"/>
      <c r="S26" s="162"/>
      <c r="T26" s="162"/>
      <c r="U26" s="162"/>
      <c r="V26" s="162"/>
      <c r="W26" s="162"/>
      <c r="X26" s="11"/>
      <c r="Y26" s="139"/>
      <c r="Z26" s="140"/>
      <c r="AA26" s="131"/>
      <c r="AB26" s="132"/>
      <c r="AC26" s="132"/>
      <c r="AD26" s="132"/>
      <c r="AE26" s="132"/>
      <c r="AF26" s="132"/>
      <c r="AG26" s="132"/>
      <c r="AH26" s="132"/>
      <c r="AI26" s="132"/>
      <c r="AJ26" s="132"/>
      <c r="AK26" s="132"/>
      <c r="AL26" s="133"/>
    </row>
    <row r="27" spans="2:38" x14ac:dyDescent="0.25">
      <c r="B27" s="162"/>
      <c r="C27" s="162"/>
      <c r="D27" s="162"/>
      <c r="E27" s="162"/>
      <c r="F27" s="162"/>
      <c r="G27" s="162"/>
      <c r="H27" s="162"/>
      <c r="I27" s="162"/>
      <c r="J27" s="162"/>
      <c r="K27" s="162"/>
      <c r="L27" s="162"/>
      <c r="M27" s="162"/>
      <c r="N27" s="162"/>
      <c r="O27" s="162"/>
      <c r="P27" s="162"/>
      <c r="Q27" s="162"/>
      <c r="R27" s="162"/>
      <c r="S27" s="162"/>
      <c r="T27" s="162"/>
      <c r="U27" s="162"/>
      <c r="V27" s="162"/>
      <c r="W27" s="162"/>
      <c r="X27" s="11"/>
      <c r="Y27" s="139"/>
      <c r="Z27" s="140"/>
      <c r="AA27" s="131"/>
      <c r="AB27" s="132"/>
      <c r="AC27" s="132"/>
      <c r="AD27" s="132"/>
      <c r="AE27" s="132"/>
      <c r="AF27" s="132"/>
      <c r="AG27" s="132"/>
      <c r="AH27" s="132"/>
      <c r="AI27" s="132"/>
      <c r="AJ27" s="132"/>
      <c r="AK27" s="132"/>
      <c r="AL27" s="133"/>
    </row>
    <row r="28" spans="2:38" x14ac:dyDescent="0.25">
      <c r="X28" s="11"/>
      <c r="Y28" s="139"/>
      <c r="Z28" s="140"/>
      <c r="AA28" s="131"/>
      <c r="AB28" s="132"/>
      <c r="AC28" s="132"/>
      <c r="AD28" s="132"/>
      <c r="AE28" s="132"/>
      <c r="AF28" s="132"/>
      <c r="AG28" s="132"/>
      <c r="AH28" s="132"/>
      <c r="AI28" s="132"/>
      <c r="AJ28" s="132"/>
      <c r="AK28" s="132"/>
      <c r="AL28" s="133"/>
    </row>
    <row r="29" spans="2:38" x14ac:dyDescent="0.25">
      <c r="X29" s="11"/>
      <c r="Y29" s="139"/>
      <c r="Z29" s="140"/>
      <c r="AA29" s="131"/>
      <c r="AB29" s="132"/>
      <c r="AC29" s="132"/>
      <c r="AD29" s="132"/>
      <c r="AE29" s="132"/>
      <c r="AF29" s="132"/>
      <c r="AG29" s="132"/>
      <c r="AH29" s="132"/>
      <c r="AI29" s="132"/>
      <c r="AJ29" s="132"/>
      <c r="AK29" s="132"/>
      <c r="AL29" s="133"/>
    </row>
    <row r="30" spans="2:38" ht="12.75" customHeight="1" x14ac:dyDescent="0.25">
      <c r="X30" s="11"/>
      <c r="Y30" s="139"/>
      <c r="Z30" s="140"/>
      <c r="AA30" s="131"/>
      <c r="AB30" s="132"/>
      <c r="AC30" s="132"/>
      <c r="AD30" s="132"/>
      <c r="AE30" s="132"/>
      <c r="AF30" s="132"/>
      <c r="AG30" s="132"/>
      <c r="AH30" s="132"/>
      <c r="AI30" s="132"/>
      <c r="AJ30" s="132"/>
      <c r="AK30" s="132"/>
      <c r="AL30" s="133"/>
    </row>
    <row r="31" spans="2:38" x14ac:dyDescent="0.25">
      <c r="X31" s="11"/>
      <c r="Y31" s="139"/>
      <c r="Z31" s="140"/>
      <c r="AA31" s="131"/>
      <c r="AB31" s="132"/>
      <c r="AC31" s="132"/>
      <c r="AD31" s="132"/>
      <c r="AE31" s="132"/>
      <c r="AF31" s="132"/>
      <c r="AG31" s="132"/>
      <c r="AH31" s="132"/>
      <c r="AI31" s="132"/>
      <c r="AJ31" s="132"/>
      <c r="AK31" s="132"/>
      <c r="AL31" s="133"/>
    </row>
    <row r="32" spans="2:38" x14ac:dyDescent="0.25">
      <c r="X32" s="11"/>
      <c r="Y32" s="139"/>
      <c r="Z32" s="140"/>
      <c r="AA32" s="131"/>
      <c r="AB32" s="132"/>
      <c r="AC32" s="132"/>
      <c r="AD32" s="132"/>
      <c r="AE32" s="132"/>
      <c r="AF32" s="132"/>
      <c r="AG32" s="132"/>
      <c r="AH32" s="132"/>
      <c r="AI32" s="132"/>
      <c r="AJ32" s="132"/>
      <c r="AK32" s="132"/>
      <c r="AL32" s="133"/>
    </row>
    <row r="33" spans="24:38" x14ac:dyDescent="0.25">
      <c r="X33" s="11"/>
      <c r="Y33" s="141"/>
      <c r="Z33" s="142"/>
      <c r="AA33" s="134"/>
      <c r="AB33" s="135"/>
      <c r="AC33" s="135"/>
      <c r="AD33" s="135"/>
      <c r="AE33" s="135"/>
      <c r="AF33" s="135"/>
      <c r="AG33" s="135"/>
      <c r="AH33" s="135"/>
      <c r="AI33" s="135"/>
      <c r="AJ33" s="135"/>
      <c r="AK33" s="135"/>
      <c r="AL33" s="136"/>
    </row>
    <row r="34" spans="24:38" x14ac:dyDescent="0.25">
      <c r="X34" s="11"/>
      <c r="Y34" s="143"/>
      <c r="Z34" s="144"/>
      <c r="AA34" s="126"/>
      <c r="AB34" s="126"/>
      <c r="AC34" s="126"/>
      <c r="AD34" s="126"/>
      <c r="AE34" s="126"/>
      <c r="AF34" s="126"/>
      <c r="AG34" s="126"/>
      <c r="AH34" s="126"/>
      <c r="AI34" s="126"/>
      <c r="AJ34" s="126"/>
      <c r="AK34" s="126"/>
      <c r="AL34" s="126"/>
    </row>
    <row r="35" spans="24:38" x14ac:dyDescent="0.25">
      <c r="X35" s="11"/>
      <c r="Y35" s="145"/>
      <c r="Z35" s="146"/>
      <c r="AA35" s="126"/>
      <c r="AB35" s="126"/>
      <c r="AC35" s="126"/>
      <c r="AD35" s="126"/>
      <c r="AE35" s="126"/>
      <c r="AF35" s="126"/>
      <c r="AG35" s="126"/>
      <c r="AH35" s="126"/>
      <c r="AI35" s="126"/>
      <c r="AJ35" s="126"/>
      <c r="AK35" s="126"/>
      <c r="AL35" s="126"/>
    </row>
    <row r="36" spans="24:38" ht="11.25" customHeight="1" x14ac:dyDescent="0.25">
      <c r="X36" s="11"/>
      <c r="Y36" s="145"/>
      <c r="Z36" s="146"/>
      <c r="AA36" s="126"/>
      <c r="AB36" s="126"/>
      <c r="AC36" s="126"/>
      <c r="AD36" s="126"/>
      <c r="AE36" s="126"/>
      <c r="AF36" s="126"/>
      <c r="AG36" s="126"/>
      <c r="AH36" s="126"/>
      <c r="AI36" s="126"/>
      <c r="AJ36" s="126"/>
      <c r="AK36" s="126"/>
      <c r="AL36" s="126"/>
    </row>
    <row r="37" spans="24:38" x14ac:dyDescent="0.25">
      <c r="X37" s="11"/>
      <c r="Y37" s="145"/>
      <c r="Z37" s="146"/>
      <c r="AA37" s="126"/>
      <c r="AB37" s="126"/>
      <c r="AC37" s="126"/>
      <c r="AD37" s="126"/>
      <c r="AE37" s="126"/>
      <c r="AF37" s="126"/>
      <c r="AG37" s="126"/>
      <c r="AH37" s="126"/>
      <c r="AI37" s="126"/>
      <c r="AJ37" s="126"/>
      <c r="AK37" s="126"/>
      <c r="AL37" s="126"/>
    </row>
    <row r="38" spans="24:38" x14ac:dyDescent="0.25">
      <c r="X38" s="11"/>
      <c r="Y38" s="145"/>
      <c r="Z38" s="146"/>
      <c r="AA38" s="126"/>
      <c r="AB38" s="126"/>
      <c r="AC38" s="126"/>
      <c r="AD38" s="126"/>
      <c r="AE38" s="126"/>
      <c r="AF38" s="126"/>
      <c r="AG38" s="126"/>
      <c r="AH38" s="126"/>
      <c r="AI38" s="126"/>
      <c r="AJ38" s="126"/>
      <c r="AK38" s="126"/>
      <c r="AL38" s="126"/>
    </row>
    <row r="39" spans="24:38" x14ac:dyDescent="0.25">
      <c r="X39" s="11"/>
      <c r="Y39" s="145"/>
      <c r="Z39" s="146"/>
      <c r="AA39" s="126"/>
      <c r="AB39" s="126"/>
      <c r="AC39" s="126"/>
      <c r="AD39" s="126"/>
      <c r="AE39" s="126"/>
      <c r="AF39" s="126"/>
      <c r="AG39" s="126"/>
      <c r="AH39" s="126"/>
      <c r="AI39" s="126"/>
      <c r="AJ39" s="126"/>
      <c r="AK39" s="126"/>
      <c r="AL39" s="126"/>
    </row>
    <row r="40" spans="24:38" x14ac:dyDescent="0.25">
      <c r="X40" s="11"/>
      <c r="Y40" s="145"/>
      <c r="Z40" s="146"/>
      <c r="AA40" s="126"/>
      <c r="AB40" s="126"/>
      <c r="AC40" s="126"/>
      <c r="AD40" s="126"/>
      <c r="AE40" s="126"/>
      <c r="AF40" s="126"/>
      <c r="AG40" s="126"/>
      <c r="AH40" s="126"/>
      <c r="AI40" s="126"/>
      <c r="AJ40" s="126"/>
      <c r="AK40" s="126"/>
      <c r="AL40" s="126"/>
    </row>
    <row r="41" spans="24:38" x14ac:dyDescent="0.25">
      <c r="X41" s="11"/>
      <c r="Y41" s="145"/>
      <c r="Z41" s="146"/>
      <c r="AA41" s="126"/>
      <c r="AB41" s="126"/>
      <c r="AC41" s="126"/>
      <c r="AD41" s="126"/>
      <c r="AE41" s="126"/>
      <c r="AF41" s="126"/>
      <c r="AG41" s="126"/>
      <c r="AH41" s="126"/>
      <c r="AI41" s="126"/>
      <c r="AJ41" s="126"/>
      <c r="AK41" s="126"/>
      <c r="AL41" s="126"/>
    </row>
    <row r="42" spans="24:38" x14ac:dyDescent="0.25">
      <c r="X42" s="11"/>
      <c r="Y42" s="145"/>
      <c r="Z42" s="146"/>
      <c r="AA42" s="126"/>
      <c r="AB42" s="126"/>
      <c r="AC42" s="126"/>
      <c r="AD42" s="126"/>
      <c r="AE42" s="126"/>
      <c r="AF42" s="126"/>
      <c r="AG42" s="126"/>
      <c r="AH42" s="126"/>
      <c r="AI42" s="126"/>
      <c r="AJ42" s="126"/>
      <c r="AK42" s="126"/>
      <c r="AL42" s="126"/>
    </row>
    <row r="43" spans="24:38" x14ac:dyDescent="0.25">
      <c r="X43" s="11"/>
      <c r="Y43" s="145"/>
      <c r="Z43" s="146"/>
      <c r="AA43" s="126"/>
      <c r="AB43" s="126"/>
      <c r="AC43" s="126"/>
      <c r="AD43" s="126"/>
      <c r="AE43" s="126"/>
      <c r="AF43" s="126"/>
      <c r="AG43" s="126"/>
      <c r="AH43" s="126"/>
      <c r="AI43" s="126"/>
      <c r="AJ43" s="126"/>
      <c r="AK43" s="126"/>
      <c r="AL43" s="126"/>
    </row>
    <row r="44" spans="24:38" x14ac:dyDescent="0.25">
      <c r="X44" s="11"/>
      <c r="Y44" s="145"/>
      <c r="Z44" s="146"/>
      <c r="AA44" s="126"/>
      <c r="AB44" s="126"/>
      <c r="AC44" s="126"/>
      <c r="AD44" s="126"/>
      <c r="AE44" s="126"/>
      <c r="AF44" s="126"/>
      <c r="AG44" s="126"/>
      <c r="AH44" s="126"/>
      <c r="AI44" s="126"/>
      <c r="AJ44" s="126"/>
      <c r="AK44" s="126"/>
      <c r="AL44" s="126"/>
    </row>
    <row r="45" spans="24:38" x14ac:dyDescent="0.25">
      <c r="X45" s="11"/>
      <c r="Y45" s="145"/>
      <c r="Z45" s="146"/>
      <c r="AA45" s="126"/>
      <c r="AB45" s="126"/>
      <c r="AC45" s="126"/>
      <c r="AD45" s="126"/>
      <c r="AE45" s="126"/>
      <c r="AF45" s="126"/>
      <c r="AG45" s="126"/>
      <c r="AH45" s="126"/>
      <c r="AI45" s="126"/>
      <c r="AJ45" s="126"/>
      <c r="AK45" s="126"/>
      <c r="AL45" s="126"/>
    </row>
    <row r="46" spans="24:38" x14ac:dyDescent="0.25">
      <c r="X46" s="11"/>
      <c r="Y46" s="145"/>
      <c r="Z46" s="146"/>
      <c r="AA46" s="126"/>
      <c r="AB46" s="126"/>
      <c r="AC46" s="126"/>
      <c r="AD46" s="126"/>
      <c r="AE46" s="126"/>
      <c r="AF46" s="126"/>
      <c r="AG46" s="126"/>
      <c r="AH46" s="126"/>
      <c r="AI46" s="126"/>
      <c r="AJ46" s="126"/>
      <c r="AK46" s="126"/>
      <c r="AL46" s="126"/>
    </row>
    <row r="47" spans="24:38" x14ac:dyDescent="0.25">
      <c r="X47" s="11"/>
      <c r="Y47" s="145"/>
      <c r="Z47" s="146"/>
      <c r="AA47" s="126"/>
      <c r="AB47" s="126"/>
      <c r="AC47" s="126"/>
      <c r="AD47" s="126"/>
      <c r="AE47" s="126"/>
      <c r="AF47" s="126"/>
      <c r="AG47" s="126"/>
      <c r="AH47" s="126"/>
      <c r="AI47" s="126"/>
      <c r="AJ47" s="126"/>
      <c r="AK47" s="126"/>
      <c r="AL47" s="126"/>
    </row>
    <row r="48" spans="24:38" x14ac:dyDescent="0.25">
      <c r="X48" s="11"/>
      <c r="Y48" s="145"/>
      <c r="Z48" s="146"/>
      <c r="AA48" s="126"/>
      <c r="AB48" s="126"/>
      <c r="AC48" s="126"/>
      <c r="AD48" s="126"/>
      <c r="AE48" s="126"/>
      <c r="AF48" s="126"/>
      <c r="AG48" s="126"/>
      <c r="AH48" s="126"/>
      <c r="AI48" s="126"/>
      <c r="AJ48" s="126"/>
      <c r="AK48" s="126"/>
      <c r="AL48" s="126"/>
    </row>
    <row r="49" spans="24:38" x14ac:dyDescent="0.25">
      <c r="X49" s="11"/>
      <c r="Y49" s="145"/>
      <c r="Z49" s="146"/>
      <c r="AA49" s="126"/>
      <c r="AB49" s="126"/>
      <c r="AC49" s="126"/>
      <c r="AD49" s="126"/>
      <c r="AE49" s="126"/>
      <c r="AF49" s="126"/>
      <c r="AG49" s="126"/>
      <c r="AH49" s="126"/>
      <c r="AI49" s="126"/>
      <c r="AJ49" s="126"/>
      <c r="AK49" s="126"/>
      <c r="AL49" s="126"/>
    </row>
    <row r="50" spans="24:38" x14ac:dyDescent="0.25">
      <c r="X50" s="11"/>
      <c r="Y50" s="145"/>
      <c r="Z50" s="146"/>
      <c r="AA50" s="126"/>
      <c r="AB50" s="126"/>
      <c r="AC50" s="126"/>
      <c r="AD50" s="126"/>
      <c r="AE50" s="126"/>
      <c r="AF50" s="126"/>
      <c r="AG50" s="126"/>
      <c r="AH50" s="126"/>
      <c r="AI50" s="126"/>
      <c r="AJ50" s="126"/>
      <c r="AK50" s="126"/>
      <c r="AL50" s="126"/>
    </row>
    <row r="51" spans="24:38" x14ac:dyDescent="0.25">
      <c r="X51" s="11"/>
      <c r="Y51" s="145"/>
      <c r="Z51" s="146"/>
      <c r="AA51" s="126"/>
      <c r="AB51" s="126"/>
      <c r="AC51" s="126"/>
      <c r="AD51" s="126"/>
      <c r="AE51" s="126"/>
      <c r="AF51" s="126"/>
      <c r="AG51" s="126"/>
      <c r="AH51" s="126"/>
      <c r="AI51" s="126"/>
      <c r="AJ51" s="126"/>
      <c r="AK51" s="126"/>
      <c r="AL51" s="126"/>
    </row>
    <row r="52" spans="24:38" x14ac:dyDescent="0.25">
      <c r="X52" s="11"/>
      <c r="Y52" s="145"/>
      <c r="Z52" s="146"/>
      <c r="AA52" s="126"/>
      <c r="AB52" s="126"/>
      <c r="AC52" s="126"/>
      <c r="AD52" s="126"/>
      <c r="AE52" s="126"/>
      <c r="AF52" s="126"/>
      <c r="AG52" s="126"/>
      <c r="AH52" s="126"/>
      <c r="AI52" s="126"/>
      <c r="AJ52" s="126"/>
      <c r="AK52" s="126"/>
      <c r="AL52" s="126"/>
    </row>
    <row r="53" spans="24:38" x14ac:dyDescent="0.25">
      <c r="X53" s="11"/>
      <c r="Y53" s="145"/>
      <c r="Z53" s="146"/>
      <c r="AA53" s="126"/>
      <c r="AB53" s="126"/>
      <c r="AC53" s="126"/>
      <c r="AD53" s="126"/>
      <c r="AE53" s="126"/>
      <c r="AF53" s="126"/>
      <c r="AG53" s="126"/>
      <c r="AH53" s="126"/>
      <c r="AI53" s="126"/>
      <c r="AJ53" s="126"/>
      <c r="AK53" s="126"/>
      <c r="AL53" s="126"/>
    </row>
    <row r="54" spans="24:38" x14ac:dyDescent="0.25">
      <c r="X54" s="11"/>
      <c r="Y54" s="145"/>
      <c r="Z54" s="146"/>
      <c r="AA54" s="126"/>
      <c r="AB54" s="126"/>
      <c r="AC54" s="126"/>
      <c r="AD54" s="126"/>
      <c r="AE54" s="126"/>
      <c r="AF54" s="126"/>
      <c r="AG54" s="126"/>
      <c r="AH54" s="126"/>
      <c r="AI54" s="126"/>
      <c r="AJ54" s="126"/>
      <c r="AK54" s="126"/>
      <c r="AL54" s="126"/>
    </row>
    <row r="55" spans="24:38" x14ac:dyDescent="0.25">
      <c r="X55" s="11"/>
      <c r="Y55" s="145"/>
      <c r="Z55" s="146"/>
      <c r="AA55" s="126"/>
      <c r="AB55" s="126"/>
      <c r="AC55" s="126"/>
      <c r="AD55" s="126"/>
      <c r="AE55" s="126"/>
      <c r="AF55" s="126"/>
      <c r="AG55" s="126"/>
      <c r="AH55" s="126"/>
      <c r="AI55" s="126"/>
      <c r="AJ55" s="126"/>
      <c r="AK55" s="126"/>
      <c r="AL55" s="126"/>
    </row>
    <row r="56" spans="24:38" x14ac:dyDescent="0.25">
      <c r="X56" s="11"/>
      <c r="Y56" s="145"/>
      <c r="Z56" s="146"/>
      <c r="AA56" s="126"/>
      <c r="AB56" s="126"/>
      <c r="AC56" s="126"/>
      <c r="AD56" s="126"/>
      <c r="AE56" s="126"/>
      <c r="AF56" s="126"/>
      <c r="AG56" s="126"/>
      <c r="AH56" s="126"/>
      <c r="AI56" s="126"/>
      <c r="AJ56" s="126"/>
      <c r="AK56" s="126"/>
      <c r="AL56" s="126"/>
    </row>
    <row r="57" spans="24:38" x14ac:dyDescent="0.25">
      <c r="X57" s="11"/>
      <c r="Y57" s="145"/>
      <c r="Z57" s="146"/>
      <c r="AA57" s="126"/>
      <c r="AB57" s="126"/>
      <c r="AC57" s="126"/>
      <c r="AD57" s="126"/>
      <c r="AE57" s="126"/>
      <c r="AF57" s="126"/>
      <c r="AG57" s="126"/>
      <c r="AH57" s="126"/>
      <c r="AI57" s="126"/>
      <c r="AJ57" s="126"/>
      <c r="AK57" s="126"/>
      <c r="AL57" s="126"/>
    </row>
    <row r="58" spans="24:38" x14ac:dyDescent="0.25">
      <c r="X58" s="11"/>
      <c r="Y58" s="145"/>
      <c r="Z58" s="146"/>
      <c r="AA58" s="126"/>
      <c r="AB58" s="126"/>
      <c r="AC58" s="126"/>
      <c r="AD58" s="126"/>
      <c r="AE58" s="126"/>
      <c r="AF58" s="126"/>
      <c r="AG58" s="126"/>
      <c r="AH58" s="126"/>
      <c r="AI58" s="126"/>
      <c r="AJ58" s="126"/>
      <c r="AK58" s="126"/>
      <c r="AL58" s="126"/>
    </row>
    <row r="59" spans="24:38" x14ac:dyDescent="0.25">
      <c r="X59" s="11"/>
      <c r="Y59" s="145"/>
      <c r="Z59" s="146"/>
      <c r="AA59" s="126"/>
      <c r="AB59" s="126"/>
      <c r="AC59" s="126"/>
      <c r="AD59" s="126"/>
      <c r="AE59" s="126"/>
      <c r="AF59" s="126"/>
      <c r="AG59" s="126"/>
      <c r="AH59" s="126"/>
      <c r="AI59" s="126"/>
      <c r="AJ59" s="126"/>
      <c r="AK59" s="126"/>
      <c r="AL59" s="126"/>
    </row>
    <row r="60" spans="24:38" x14ac:dyDescent="0.25">
      <c r="X60" s="11"/>
      <c r="Y60" s="145"/>
      <c r="Z60" s="146"/>
      <c r="AA60" s="126"/>
      <c r="AB60" s="126"/>
      <c r="AC60" s="126"/>
      <c r="AD60" s="126"/>
      <c r="AE60" s="126"/>
      <c r="AF60" s="126"/>
      <c r="AG60" s="126"/>
      <c r="AH60" s="126"/>
      <c r="AI60" s="126"/>
      <c r="AJ60" s="126"/>
      <c r="AK60" s="126"/>
      <c r="AL60" s="126"/>
    </row>
    <row r="61" spans="24:38" x14ac:dyDescent="0.25">
      <c r="X61" s="11"/>
      <c r="Y61" s="145"/>
      <c r="Z61" s="146"/>
      <c r="AA61" s="126"/>
      <c r="AB61" s="126"/>
      <c r="AC61" s="126"/>
      <c r="AD61" s="126"/>
      <c r="AE61" s="126"/>
      <c r="AF61" s="126"/>
      <c r="AG61" s="126"/>
      <c r="AH61" s="126"/>
      <c r="AI61" s="126"/>
      <c r="AJ61" s="126"/>
      <c r="AK61" s="126"/>
      <c r="AL61" s="126"/>
    </row>
    <row r="62" spans="24:38" x14ac:dyDescent="0.25">
      <c r="X62" s="11"/>
      <c r="Y62" s="145"/>
      <c r="Z62" s="146"/>
      <c r="AA62" s="126"/>
      <c r="AB62" s="126"/>
      <c r="AC62" s="126"/>
      <c r="AD62" s="126"/>
      <c r="AE62" s="126"/>
      <c r="AF62" s="126"/>
      <c r="AG62" s="126"/>
      <c r="AH62" s="126"/>
      <c r="AI62" s="126"/>
      <c r="AJ62" s="126"/>
      <c r="AK62" s="126"/>
      <c r="AL62" s="126"/>
    </row>
    <row r="63" spans="24:38" x14ac:dyDescent="0.25">
      <c r="X63" s="11"/>
      <c r="Y63" s="147"/>
      <c r="Z63" s="148"/>
      <c r="AA63" s="126"/>
      <c r="AB63" s="126"/>
      <c r="AC63" s="126"/>
      <c r="AD63" s="126"/>
      <c r="AE63" s="126"/>
      <c r="AF63" s="126"/>
      <c r="AG63" s="126"/>
      <c r="AH63" s="126"/>
      <c r="AI63" s="126"/>
      <c r="AJ63" s="126"/>
      <c r="AK63" s="126"/>
      <c r="AL63" s="126"/>
    </row>
    <row r="64" spans="24:38" x14ac:dyDescent="0.25">
      <c r="X64" s="11"/>
      <c r="Y64" s="137"/>
      <c r="Z64" s="138"/>
      <c r="AA64" s="125"/>
      <c r="AB64" s="125"/>
      <c r="AC64" s="125"/>
      <c r="AD64" s="125"/>
      <c r="AE64" s="125"/>
      <c r="AF64" s="125"/>
      <c r="AG64" s="125"/>
      <c r="AH64" s="125"/>
      <c r="AI64" s="125"/>
      <c r="AJ64" s="125"/>
      <c r="AK64" s="125"/>
      <c r="AL64" s="125"/>
    </row>
    <row r="65" spans="25:38" x14ac:dyDescent="0.25">
      <c r="Y65" s="139"/>
      <c r="Z65" s="140"/>
      <c r="AA65" s="125"/>
      <c r="AB65" s="125"/>
      <c r="AC65" s="125"/>
      <c r="AD65" s="125"/>
      <c r="AE65" s="125"/>
      <c r="AF65" s="125"/>
      <c r="AG65" s="125"/>
      <c r="AH65" s="125"/>
      <c r="AI65" s="125"/>
      <c r="AJ65" s="125"/>
      <c r="AK65" s="125"/>
      <c r="AL65" s="125"/>
    </row>
    <row r="66" spans="25:38" x14ac:dyDescent="0.25">
      <c r="Y66" s="139"/>
      <c r="Z66" s="140"/>
      <c r="AA66" s="125"/>
      <c r="AB66" s="125"/>
      <c r="AC66" s="125"/>
      <c r="AD66" s="125"/>
      <c r="AE66" s="125"/>
      <c r="AF66" s="125"/>
      <c r="AG66" s="125"/>
      <c r="AH66" s="125"/>
      <c r="AI66" s="125"/>
      <c r="AJ66" s="125"/>
      <c r="AK66" s="125"/>
      <c r="AL66" s="125"/>
    </row>
    <row r="67" spans="25:38" x14ac:dyDescent="0.25">
      <c r="Y67" s="139"/>
      <c r="Z67" s="140"/>
      <c r="AA67" s="125"/>
      <c r="AB67" s="125"/>
      <c r="AC67" s="125"/>
      <c r="AD67" s="125"/>
      <c r="AE67" s="125"/>
      <c r="AF67" s="125"/>
      <c r="AG67" s="125"/>
      <c r="AH67" s="125"/>
      <c r="AI67" s="125"/>
      <c r="AJ67" s="125"/>
      <c r="AK67" s="125"/>
      <c r="AL67" s="125"/>
    </row>
    <row r="68" spans="25:38" x14ac:dyDescent="0.25">
      <c r="Y68" s="139"/>
      <c r="Z68" s="140"/>
      <c r="AA68" s="125"/>
      <c r="AB68" s="125"/>
      <c r="AC68" s="125"/>
      <c r="AD68" s="125"/>
      <c r="AE68" s="125"/>
      <c r="AF68" s="125"/>
      <c r="AG68" s="125"/>
      <c r="AH68" s="125"/>
      <c r="AI68" s="125"/>
      <c r="AJ68" s="125"/>
      <c r="AK68" s="125"/>
      <c r="AL68" s="125"/>
    </row>
    <row r="69" spans="25:38" x14ac:dyDescent="0.25">
      <c r="Y69" s="139"/>
      <c r="Z69" s="140"/>
      <c r="AA69" s="125"/>
      <c r="AB69" s="125"/>
      <c r="AC69" s="125"/>
      <c r="AD69" s="125"/>
      <c r="AE69" s="125"/>
      <c r="AF69" s="125"/>
      <c r="AG69" s="125"/>
      <c r="AH69" s="125"/>
      <c r="AI69" s="125"/>
      <c r="AJ69" s="125"/>
      <c r="AK69" s="125"/>
      <c r="AL69" s="125"/>
    </row>
    <row r="70" spans="25:38" x14ac:dyDescent="0.25">
      <c r="Y70" s="139"/>
      <c r="Z70" s="140"/>
      <c r="AA70" s="125"/>
      <c r="AB70" s="125"/>
      <c r="AC70" s="125"/>
      <c r="AD70" s="125"/>
      <c r="AE70" s="125"/>
      <c r="AF70" s="125"/>
      <c r="AG70" s="125"/>
      <c r="AH70" s="125"/>
      <c r="AI70" s="125"/>
      <c r="AJ70" s="125"/>
      <c r="AK70" s="125"/>
      <c r="AL70" s="125"/>
    </row>
    <row r="71" spans="25:38" x14ac:dyDescent="0.25">
      <c r="Y71" s="139"/>
      <c r="Z71" s="140"/>
      <c r="AA71" s="125"/>
      <c r="AB71" s="125"/>
      <c r="AC71" s="125"/>
      <c r="AD71" s="125"/>
      <c r="AE71" s="125"/>
      <c r="AF71" s="125"/>
      <c r="AG71" s="125"/>
      <c r="AH71" s="125"/>
      <c r="AI71" s="125"/>
      <c r="AJ71" s="125"/>
      <c r="AK71" s="125"/>
      <c r="AL71" s="125"/>
    </row>
    <row r="72" spans="25:38" x14ac:dyDescent="0.25">
      <c r="Y72" s="139"/>
      <c r="Z72" s="140"/>
      <c r="AA72" s="125"/>
      <c r="AB72" s="125"/>
      <c r="AC72" s="125"/>
      <c r="AD72" s="125"/>
      <c r="AE72" s="125"/>
      <c r="AF72" s="125"/>
      <c r="AG72" s="125"/>
      <c r="AH72" s="125"/>
      <c r="AI72" s="125"/>
      <c r="AJ72" s="125"/>
      <c r="AK72" s="125"/>
      <c r="AL72" s="125"/>
    </row>
    <row r="73" spans="25:38" x14ac:dyDescent="0.25">
      <c r="Y73" s="139"/>
      <c r="Z73" s="140"/>
      <c r="AA73" s="125"/>
      <c r="AB73" s="125"/>
      <c r="AC73" s="125"/>
      <c r="AD73" s="125"/>
      <c r="AE73" s="125"/>
      <c r="AF73" s="125"/>
      <c r="AG73" s="125"/>
      <c r="AH73" s="125"/>
      <c r="AI73" s="125"/>
      <c r="AJ73" s="125"/>
      <c r="AK73" s="125"/>
      <c r="AL73" s="125"/>
    </row>
    <row r="74" spans="25:38" x14ac:dyDescent="0.25">
      <c r="Y74" s="139"/>
      <c r="Z74" s="140"/>
      <c r="AA74" s="125"/>
      <c r="AB74" s="125"/>
      <c r="AC74" s="125"/>
      <c r="AD74" s="125"/>
      <c r="AE74" s="125"/>
      <c r="AF74" s="125"/>
      <c r="AG74" s="125"/>
      <c r="AH74" s="125"/>
      <c r="AI74" s="125"/>
      <c r="AJ74" s="125"/>
      <c r="AK74" s="125"/>
      <c r="AL74" s="125"/>
    </row>
    <row r="75" spans="25:38" x14ac:dyDescent="0.25">
      <c r="Y75" s="139"/>
      <c r="Z75" s="140"/>
      <c r="AA75" s="125"/>
      <c r="AB75" s="125"/>
      <c r="AC75" s="125"/>
      <c r="AD75" s="125"/>
      <c r="AE75" s="125"/>
      <c r="AF75" s="125"/>
      <c r="AG75" s="125"/>
      <c r="AH75" s="125"/>
      <c r="AI75" s="125"/>
      <c r="AJ75" s="125"/>
      <c r="AK75" s="125"/>
      <c r="AL75" s="125"/>
    </row>
    <row r="76" spans="25:38" x14ac:dyDescent="0.25">
      <c r="Y76" s="139"/>
      <c r="Z76" s="140"/>
      <c r="AA76" s="125"/>
      <c r="AB76" s="125"/>
      <c r="AC76" s="125"/>
      <c r="AD76" s="125"/>
      <c r="AE76" s="125"/>
      <c r="AF76" s="125"/>
      <c r="AG76" s="125"/>
      <c r="AH76" s="125"/>
      <c r="AI76" s="125"/>
      <c r="AJ76" s="125"/>
      <c r="AK76" s="125"/>
      <c r="AL76" s="125"/>
    </row>
    <row r="77" spans="25:38" x14ac:dyDescent="0.25">
      <c r="Y77" s="139"/>
      <c r="Z77" s="140"/>
      <c r="AA77" s="125"/>
      <c r="AB77" s="125"/>
      <c r="AC77" s="125"/>
      <c r="AD77" s="125"/>
      <c r="AE77" s="125"/>
      <c r="AF77" s="125"/>
      <c r="AG77" s="125"/>
      <c r="AH77" s="125"/>
      <c r="AI77" s="125"/>
      <c r="AJ77" s="125"/>
      <c r="AK77" s="125"/>
      <c r="AL77" s="125"/>
    </row>
    <row r="78" spans="25:38" x14ac:dyDescent="0.25">
      <c r="Y78" s="139"/>
      <c r="Z78" s="140"/>
      <c r="AA78" s="125"/>
      <c r="AB78" s="125"/>
      <c r="AC78" s="125"/>
      <c r="AD78" s="125"/>
      <c r="AE78" s="125"/>
      <c r="AF78" s="125"/>
      <c r="AG78" s="125"/>
      <c r="AH78" s="125"/>
      <c r="AI78" s="125"/>
      <c r="AJ78" s="125"/>
      <c r="AK78" s="125"/>
      <c r="AL78" s="125"/>
    </row>
    <row r="79" spans="25:38" x14ac:dyDescent="0.25">
      <c r="Y79" s="139"/>
      <c r="Z79" s="140"/>
      <c r="AA79" s="125"/>
      <c r="AB79" s="125"/>
      <c r="AC79" s="125"/>
      <c r="AD79" s="125"/>
      <c r="AE79" s="125"/>
      <c r="AF79" s="125"/>
      <c r="AG79" s="125"/>
      <c r="AH79" s="125"/>
      <c r="AI79" s="125"/>
      <c r="AJ79" s="125"/>
      <c r="AK79" s="125"/>
      <c r="AL79" s="125"/>
    </row>
    <row r="80" spans="25:38" x14ac:dyDescent="0.25">
      <c r="Y80" s="139"/>
      <c r="Z80" s="140"/>
      <c r="AA80" s="125"/>
      <c r="AB80" s="125"/>
      <c r="AC80" s="125"/>
      <c r="AD80" s="125"/>
      <c r="AE80" s="125"/>
      <c r="AF80" s="125"/>
      <c r="AG80" s="125"/>
      <c r="AH80" s="125"/>
      <c r="AI80" s="125"/>
      <c r="AJ80" s="125"/>
      <c r="AK80" s="125"/>
      <c r="AL80" s="125"/>
    </row>
    <row r="81" spans="25:38" x14ac:dyDescent="0.25">
      <c r="Y81" s="139"/>
      <c r="Z81" s="140"/>
      <c r="AA81" s="125"/>
      <c r="AB81" s="125"/>
      <c r="AC81" s="125"/>
      <c r="AD81" s="125"/>
      <c r="AE81" s="125"/>
      <c r="AF81" s="125"/>
      <c r="AG81" s="125"/>
      <c r="AH81" s="125"/>
      <c r="AI81" s="125"/>
      <c r="AJ81" s="125"/>
      <c r="AK81" s="125"/>
      <c r="AL81" s="125"/>
    </row>
    <row r="82" spans="25:38" x14ac:dyDescent="0.25">
      <c r="Y82" s="139"/>
      <c r="Z82" s="140"/>
      <c r="AA82" s="125"/>
      <c r="AB82" s="125"/>
      <c r="AC82" s="125"/>
      <c r="AD82" s="125"/>
      <c r="AE82" s="125"/>
      <c r="AF82" s="125"/>
      <c r="AG82" s="125"/>
      <c r="AH82" s="125"/>
      <c r="AI82" s="125"/>
      <c r="AJ82" s="125"/>
      <c r="AK82" s="125"/>
      <c r="AL82" s="125"/>
    </row>
    <row r="83" spans="25:38" x14ac:dyDescent="0.25">
      <c r="Y83" s="139"/>
      <c r="Z83" s="140"/>
      <c r="AA83" s="125"/>
      <c r="AB83" s="125"/>
      <c r="AC83" s="125"/>
      <c r="AD83" s="125"/>
      <c r="AE83" s="125"/>
      <c r="AF83" s="125"/>
      <c r="AG83" s="125"/>
      <c r="AH83" s="125"/>
      <c r="AI83" s="125"/>
      <c r="AJ83" s="125"/>
      <c r="AK83" s="125"/>
      <c r="AL83" s="125"/>
    </row>
    <row r="84" spans="25:38" x14ac:dyDescent="0.25">
      <c r="Y84" s="139"/>
      <c r="Z84" s="140"/>
      <c r="AA84" s="125"/>
      <c r="AB84" s="125"/>
      <c r="AC84" s="125"/>
      <c r="AD84" s="125"/>
      <c r="AE84" s="125"/>
      <c r="AF84" s="125"/>
      <c r="AG84" s="125"/>
      <c r="AH84" s="125"/>
      <c r="AI84" s="125"/>
      <c r="AJ84" s="125"/>
      <c r="AK84" s="125"/>
      <c r="AL84" s="125"/>
    </row>
    <row r="85" spans="25:38" x14ac:dyDescent="0.25">
      <c r="Y85" s="139"/>
      <c r="Z85" s="140"/>
      <c r="AA85" s="125"/>
      <c r="AB85" s="125"/>
      <c r="AC85" s="125"/>
      <c r="AD85" s="125"/>
      <c r="AE85" s="125"/>
      <c r="AF85" s="125"/>
      <c r="AG85" s="125"/>
      <c r="AH85" s="125"/>
      <c r="AI85" s="125"/>
      <c r="AJ85" s="125"/>
      <c r="AK85" s="125"/>
      <c r="AL85" s="125"/>
    </row>
    <row r="86" spans="25:38" x14ac:dyDescent="0.25">
      <c r="Y86" s="139"/>
      <c r="Z86" s="140"/>
      <c r="AA86" s="125"/>
      <c r="AB86" s="125"/>
      <c r="AC86" s="125"/>
      <c r="AD86" s="125"/>
      <c r="AE86" s="125"/>
      <c r="AF86" s="125"/>
      <c r="AG86" s="125"/>
      <c r="AH86" s="125"/>
      <c r="AI86" s="125"/>
      <c r="AJ86" s="125"/>
      <c r="AK86" s="125"/>
      <c r="AL86" s="125"/>
    </row>
    <row r="87" spans="25:38" x14ac:dyDescent="0.25">
      <c r="Y87" s="139"/>
      <c r="Z87" s="140"/>
      <c r="AA87" s="125"/>
      <c r="AB87" s="125"/>
      <c r="AC87" s="125"/>
      <c r="AD87" s="125"/>
      <c r="AE87" s="125"/>
      <c r="AF87" s="125"/>
      <c r="AG87" s="125"/>
      <c r="AH87" s="125"/>
      <c r="AI87" s="125"/>
      <c r="AJ87" s="125"/>
      <c r="AK87" s="125"/>
      <c r="AL87" s="125"/>
    </row>
    <row r="88" spans="25:38" x14ac:dyDescent="0.25">
      <c r="Y88" s="139"/>
      <c r="Z88" s="140"/>
      <c r="AA88" s="125"/>
      <c r="AB88" s="125"/>
      <c r="AC88" s="125"/>
      <c r="AD88" s="125"/>
      <c r="AE88" s="125"/>
      <c r="AF88" s="125"/>
      <c r="AG88" s="125"/>
      <c r="AH88" s="125"/>
      <c r="AI88" s="125"/>
      <c r="AJ88" s="125"/>
      <c r="AK88" s="125"/>
      <c r="AL88" s="125"/>
    </row>
    <row r="89" spans="25:38" x14ac:dyDescent="0.25">
      <c r="Y89" s="139"/>
      <c r="Z89" s="140"/>
      <c r="AA89" s="125"/>
      <c r="AB89" s="125"/>
      <c r="AC89" s="125"/>
      <c r="AD89" s="125"/>
      <c r="AE89" s="125"/>
      <c r="AF89" s="125"/>
      <c r="AG89" s="125"/>
      <c r="AH89" s="125"/>
      <c r="AI89" s="125"/>
      <c r="AJ89" s="125"/>
      <c r="AK89" s="125"/>
      <c r="AL89" s="125"/>
    </row>
    <row r="90" spans="25:38" x14ac:dyDescent="0.25">
      <c r="Y90" s="139"/>
      <c r="Z90" s="140"/>
      <c r="AA90" s="125"/>
      <c r="AB90" s="125"/>
      <c r="AC90" s="125"/>
      <c r="AD90" s="125"/>
      <c r="AE90" s="125"/>
      <c r="AF90" s="125"/>
      <c r="AG90" s="125"/>
      <c r="AH90" s="125"/>
      <c r="AI90" s="125"/>
      <c r="AJ90" s="125"/>
      <c r="AK90" s="125"/>
      <c r="AL90" s="125"/>
    </row>
    <row r="91" spans="25:38" x14ac:dyDescent="0.25">
      <c r="Y91" s="139"/>
      <c r="Z91" s="140"/>
      <c r="AA91" s="125"/>
      <c r="AB91" s="125"/>
      <c r="AC91" s="125"/>
      <c r="AD91" s="125"/>
      <c r="AE91" s="125"/>
      <c r="AF91" s="125"/>
      <c r="AG91" s="125"/>
      <c r="AH91" s="125"/>
      <c r="AI91" s="125"/>
      <c r="AJ91" s="125"/>
      <c r="AK91" s="125"/>
      <c r="AL91" s="125"/>
    </row>
    <row r="92" spans="25:38" x14ac:dyDescent="0.25">
      <c r="Y92" s="139"/>
      <c r="Z92" s="140"/>
      <c r="AA92" s="125"/>
      <c r="AB92" s="125"/>
      <c r="AC92" s="125"/>
      <c r="AD92" s="125"/>
      <c r="AE92" s="125"/>
      <c r="AF92" s="125"/>
      <c r="AG92" s="125"/>
      <c r="AH92" s="125"/>
      <c r="AI92" s="125"/>
      <c r="AJ92" s="125"/>
      <c r="AK92" s="125"/>
      <c r="AL92" s="125"/>
    </row>
    <row r="93" spans="25:38" x14ac:dyDescent="0.25">
      <c r="Y93" s="141"/>
      <c r="Z93" s="142"/>
      <c r="AA93" s="125"/>
      <c r="AB93" s="125"/>
      <c r="AC93" s="125"/>
      <c r="AD93" s="125"/>
      <c r="AE93" s="125"/>
      <c r="AF93" s="125"/>
      <c r="AG93" s="125"/>
      <c r="AH93" s="125"/>
      <c r="AI93" s="125"/>
      <c r="AJ93" s="125"/>
      <c r="AK93" s="125"/>
      <c r="AL93" s="125"/>
    </row>
    <row r="94" spans="25:38" x14ac:dyDescent="0.25">
      <c r="Y94" s="143"/>
      <c r="Z94" s="144"/>
      <c r="AA94" s="126"/>
      <c r="AB94" s="126"/>
      <c r="AC94" s="126"/>
      <c r="AD94" s="126"/>
      <c r="AE94" s="126"/>
      <c r="AF94" s="126"/>
      <c r="AG94" s="126"/>
      <c r="AH94" s="126"/>
      <c r="AI94" s="126"/>
      <c r="AJ94" s="126"/>
      <c r="AK94" s="126"/>
      <c r="AL94" s="126"/>
    </row>
    <row r="95" spans="25:38" x14ac:dyDescent="0.25">
      <c r="Y95" s="145"/>
      <c r="Z95" s="146"/>
      <c r="AA95" s="126"/>
      <c r="AB95" s="126"/>
      <c r="AC95" s="126"/>
      <c r="AD95" s="126"/>
      <c r="AE95" s="126"/>
      <c r="AF95" s="126"/>
      <c r="AG95" s="126"/>
      <c r="AH95" s="126"/>
      <c r="AI95" s="126"/>
      <c r="AJ95" s="126"/>
      <c r="AK95" s="126"/>
      <c r="AL95" s="126"/>
    </row>
    <row r="96" spans="25:38" x14ac:dyDescent="0.25">
      <c r="Y96" s="145"/>
      <c r="Z96" s="146"/>
      <c r="AA96" s="126"/>
      <c r="AB96" s="126"/>
      <c r="AC96" s="126"/>
      <c r="AD96" s="126"/>
      <c r="AE96" s="126"/>
      <c r="AF96" s="126"/>
      <c r="AG96" s="126"/>
      <c r="AH96" s="126"/>
      <c r="AI96" s="126"/>
      <c r="AJ96" s="126"/>
      <c r="AK96" s="126"/>
      <c r="AL96" s="126"/>
    </row>
    <row r="97" spans="25:38" x14ac:dyDescent="0.25">
      <c r="Y97" s="145"/>
      <c r="Z97" s="146"/>
      <c r="AA97" s="126"/>
      <c r="AB97" s="126"/>
      <c r="AC97" s="126"/>
      <c r="AD97" s="126"/>
      <c r="AE97" s="126"/>
      <c r="AF97" s="126"/>
      <c r="AG97" s="126"/>
      <c r="AH97" s="126"/>
      <c r="AI97" s="126"/>
      <c r="AJ97" s="126"/>
      <c r="AK97" s="126"/>
      <c r="AL97" s="126"/>
    </row>
    <row r="98" spans="25:38" x14ac:dyDescent="0.25">
      <c r="Y98" s="145"/>
      <c r="Z98" s="146"/>
      <c r="AA98" s="126"/>
      <c r="AB98" s="126"/>
      <c r="AC98" s="126"/>
      <c r="AD98" s="126"/>
      <c r="AE98" s="126"/>
      <c r="AF98" s="126"/>
      <c r="AG98" s="126"/>
      <c r="AH98" s="126"/>
      <c r="AI98" s="126"/>
      <c r="AJ98" s="126"/>
      <c r="AK98" s="126"/>
      <c r="AL98" s="126"/>
    </row>
    <row r="99" spans="25:38" x14ac:dyDescent="0.25">
      <c r="Y99" s="145"/>
      <c r="Z99" s="146"/>
      <c r="AA99" s="126"/>
      <c r="AB99" s="126"/>
      <c r="AC99" s="126"/>
      <c r="AD99" s="126"/>
      <c r="AE99" s="126"/>
      <c r="AF99" s="126"/>
      <c r="AG99" s="126"/>
      <c r="AH99" s="126"/>
      <c r="AI99" s="126"/>
      <c r="AJ99" s="126"/>
      <c r="AK99" s="126"/>
      <c r="AL99" s="126"/>
    </row>
    <row r="100" spans="25:38" x14ac:dyDescent="0.25">
      <c r="Y100" s="145"/>
      <c r="Z100" s="146"/>
      <c r="AA100" s="126"/>
      <c r="AB100" s="126"/>
      <c r="AC100" s="126"/>
      <c r="AD100" s="126"/>
      <c r="AE100" s="126"/>
      <c r="AF100" s="126"/>
      <c r="AG100" s="126"/>
      <c r="AH100" s="126"/>
      <c r="AI100" s="126"/>
      <c r="AJ100" s="126"/>
      <c r="AK100" s="126"/>
      <c r="AL100" s="126"/>
    </row>
    <row r="101" spans="25:38" x14ac:dyDescent="0.25">
      <c r="Y101" s="145"/>
      <c r="Z101" s="146"/>
      <c r="AA101" s="126"/>
      <c r="AB101" s="126"/>
      <c r="AC101" s="126"/>
      <c r="AD101" s="126"/>
      <c r="AE101" s="126"/>
      <c r="AF101" s="126"/>
      <c r="AG101" s="126"/>
      <c r="AH101" s="126"/>
      <c r="AI101" s="126"/>
      <c r="AJ101" s="126"/>
      <c r="AK101" s="126"/>
      <c r="AL101" s="126"/>
    </row>
    <row r="102" spans="25:38" x14ac:dyDescent="0.25">
      <c r="Y102" s="145"/>
      <c r="Z102" s="146"/>
      <c r="AA102" s="126"/>
      <c r="AB102" s="126"/>
      <c r="AC102" s="126"/>
      <c r="AD102" s="126"/>
      <c r="AE102" s="126"/>
      <c r="AF102" s="126"/>
      <c r="AG102" s="126"/>
      <c r="AH102" s="126"/>
      <c r="AI102" s="126"/>
      <c r="AJ102" s="126"/>
      <c r="AK102" s="126"/>
      <c r="AL102" s="126"/>
    </row>
    <row r="103" spans="25:38" x14ac:dyDescent="0.25">
      <c r="Y103" s="145"/>
      <c r="Z103" s="146"/>
      <c r="AA103" s="126"/>
      <c r="AB103" s="126"/>
      <c r="AC103" s="126"/>
      <c r="AD103" s="126"/>
      <c r="AE103" s="126"/>
      <c r="AF103" s="126"/>
      <c r="AG103" s="126"/>
      <c r="AH103" s="126"/>
      <c r="AI103" s="126"/>
      <c r="AJ103" s="126"/>
      <c r="AK103" s="126"/>
      <c r="AL103" s="126"/>
    </row>
    <row r="104" spans="25:38" x14ac:dyDescent="0.25">
      <c r="Y104" s="145"/>
      <c r="Z104" s="146"/>
      <c r="AA104" s="126"/>
      <c r="AB104" s="126"/>
      <c r="AC104" s="126"/>
      <c r="AD104" s="126"/>
      <c r="AE104" s="126"/>
      <c r="AF104" s="126"/>
      <c r="AG104" s="126"/>
      <c r="AH104" s="126"/>
      <c r="AI104" s="126"/>
      <c r="AJ104" s="126"/>
      <c r="AK104" s="126"/>
      <c r="AL104" s="126"/>
    </row>
    <row r="105" spans="25:38" x14ac:dyDescent="0.25">
      <c r="Y105" s="145"/>
      <c r="Z105" s="146"/>
      <c r="AA105" s="126"/>
      <c r="AB105" s="126"/>
      <c r="AC105" s="126"/>
      <c r="AD105" s="126"/>
      <c r="AE105" s="126"/>
      <c r="AF105" s="126"/>
      <c r="AG105" s="126"/>
      <c r="AH105" s="126"/>
      <c r="AI105" s="126"/>
      <c r="AJ105" s="126"/>
      <c r="AK105" s="126"/>
      <c r="AL105" s="126"/>
    </row>
    <row r="106" spans="25:38" x14ac:dyDescent="0.25">
      <c r="Y106" s="145"/>
      <c r="Z106" s="146"/>
      <c r="AA106" s="126"/>
      <c r="AB106" s="126"/>
      <c r="AC106" s="126"/>
      <c r="AD106" s="126"/>
      <c r="AE106" s="126"/>
      <c r="AF106" s="126"/>
      <c r="AG106" s="126"/>
      <c r="AH106" s="126"/>
      <c r="AI106" s="126"/>
      <c r="AJ106" s="126"/>
      <c r="AK106" s="126"/>
      <c r="AL106" s="126"/>
    </row>
    <row r="107" spans="25:38" x14ac:dyDescent="0.25">
      <c r="Y107" s="145"/>
      <c r="Z107" s="146"/>
      <c r="AA107" s="126"/>
      <c r="AB107" s="126"/>
      <c r="AC107" s="126"/>
      <c r="AD107" s="126"/>
      <c r="AE107" s="126"/>
      <c r="AF107" s="126"/>
      <c r="AG107" s="126"/>
      <c r="AH107" s="126"/>
      <c r="AI107" s="126"/>
      <c r="AJ107" s="126"/>
      <c r="AK107" s="126"/>
      <c r="AL107" s="126"/>
    </row>
    <row r="108" spans="25:38" x14ac:dyDescent="0.25">
      <c r="Y108" s="145"/>
      <c r="Z108" s="146"/>
      <c r="AA108" s="126"/>
      <c r="AB108" s="126"/>
      <c r="AC108" s="126"/>
      <c r="AD108" s="126"/>
      <c r="AE108" s="126"/>
      <c r="AF108" s="126"/>
      <c r="AG108" s="126"/>
      <c r="AH108" s="126"/>
      <c r="AI108" s="126"/>
      <c r="AJ108" s="126"/>
      <c r="AK108" s="126"/>
      <c r="AL108" s="126"/>
    </row>
    <row r="109" spans="25:38" x14ac:dyDescent="0.25">
      <c r="Y109" s="145"/>
      <c r="Z109" s="146"/>
      <c r="AA109" s="126"/>
      <c r="AB109" s="126"/>
      <c r="AC109" s="126"/>
      <c r="AD109" s="126"/>
      <c r="AE109" s="126"/>
      <c r="AF109" s="126"/>
      <c r="AG109" s="126"/>
      <c r="AH109" s="126"/>
      <c r="AI109" s="126"/>
      <c r="AJ109" s="126"/>
      <c r="AK109" s="126"/>
      <c r="AL109" s="126"/>
    </row>
    <row r="110" spans="25:38" x14ac:dyDescent="0.25">
      <c r="Y110" s="145"/>
      <c r="Z110" s="146"/>
      <c r="AA110" s="126"/>
      <c r="AB110" s="126"/>
      <c r="AC110" s="126"/>
      <c r="AD110" s="126"/>
      <c r="AE110" s="126"/>
      <c r="AF110" s="126"/>
      <c r="AG110" s="126"/>
      <c r="AH110" s="126"/>
      <c r="AI110" s="126"/>
      <c r="AJ110" s="126"/>
      <c r="AK110" s="126"/>
      <c r="AL110" s="126"/>
    </row>
    <row r="111" spans="25:38" x14ac:dyDescent="0.25">
      <c r="Y111" s="145"/>
      <c r="Z111" s="146"/>
      <c r="AA111" s="126"/>
      <c r="AB111" s="126"/>
      <c r="AC111" s="126"/>
      <c r="AD111" s="126"/>
      <c r="AE111" s="126"/>
      <c r="AF111" s="126"/>
      <c r="AG111" s="126"/>
      <c r="AH111" s="126"/>
      <c r="AI111" s="126"/>
      <c r="AJ111" s="126"/>
      <c r="AK111" s="126"/>
      <c r="AL111" s="126"/>
    </row>
    <row r="112" spans="25:38" x14ac:dyDescent="0.25">
      <c r="Y112" s="145"/>
      <c r="Z112" s="146"/>
      <c r="AA112" s="126"/>
      <c r="AB112" s="126"/>
      <c r="AC112" s="126"/>
      <c r="AD112" s="126"/>
      <c r="AE112" s="126"/>
      <c r="AF112" s="126"/>
      <c r="AG112" s="126"/>
      <c r="AH112" s="126"/>
      <c r="AI112" s="126"/>
      <c r="AJ112" s="126"/>
      <c r="AK112" s="126"/>
      <c r="AL112" s="126"/>
    </row>
    <row r="113" spans="25:38" x14ac:dyDescent="0.25">
      <c r="Y113" s="145"/>
      <c r="Z113" s="146"/>
      <c r="AA113" s="126"/>
      <c r="AB113" s="126"/>
      <c r="AC113" s="126"/>
      <c r="AD113" s="126"/>
      <c r="AE113" s="126"/>
      <c r="AF113" s="126"/>
      <c r="AG113" s="126"/>
      <c r="AH113" s="126"/>
      <c r="AI113" s="126"/>
      <c r="AJ113" s="126"/>
      <c r="AK113" s="126"/>
      <c r="AL113" s="126"/>
    </row>
    <row r="114" spans="25:38" x14ac:dyDescent="0.25">
      <c r="Y114" s="145"/>
      <c r="Z114" s="146"/>
      <c r="AA114" s="126"/>
      <c r="AB114" s="126"/>
      <c r="AC114" s="126"/>
      <c r="AD114" s="126"/>
      <c r="AE114" s="126"/>
      <c r="AF114" s="126"/>
      <c r="AG114" s="126"/>
      <c r="AH114" s="126"/>
      <c r="AI114" s="126"/>
      <c r="AJ114" s="126"/>
      <c r="AK114" s="126"/>
      <c r="AL114" s="126"/>
    </row>
    <row r="115" spans="25:38" x14ac:dyDescent="0.25">
      <c r="Y115" s="145"/>
      <c r="Z115" s="146"/>
      <c r="AA115" s="126"/>
      <c r="AB115" s="126"/>
      <c r="AC115" s="126"/>
      <c r="AD115" s="126"/>
      <c r="AE115" s="126"/>
      <c r="AF115" s="126"/>
      <c r="AG115" s="126"/>
      <c r="AH115" s="126"/>
      <c r="AI115" s="126"/>
      <c r="AJ115" s="126"/>
      <c r="AK115" s="126"/>
      <c r="AL115" s="126"/>
    </row>
    <row r="116" spans="25:38" x14ac:dyDescent="0.25">
      <c r="Y116" s="145"/>
      <c r="Z116" s="146"/>
      <c r="AA116" s="126"/>
      <c r="AB116" s="126"/>
      <c r="AC116" s="126"/>
      <c r="AD116" s="126"/>
      <c r="AE116" s="126"/>
      <c r="AF116" s="126"/>
      <c r="AG116" s="126"/>
      <c r="AH116" s="126"/>
      <c r="AI116" s="126"/>
      <c r="AJ116" s="126"/>
      <c r="AK116" s="126"/>
      <c r="AL116" s="126"/>
    </row>
    <row r="117" spans="25:38" x14ac:dyDescent="0.25">
      <c r="Y117" s="145"/>
      <c r="Z117" s="146"/>
      <c r="AA117" s="126"/>
      <c r="AB117" s="126"/>
      <c r="AC117" s="126"/>
      <c r="AD117" s="126"/>
      <c r="AE117" s="126"/>
      <c r="AF117" s="126"/>
      <c r="AG117" s="126"/>
      <c r="AH117" s="126"/>
      <c r="AI117" s="126"/>
      <c r="AJ117" s="126"/>
      <c r="AK117" s="126"/>
      <c r="AL117" s="126"/>
    </row>
    <row r="118" spans="25:38" x14ac:dyDescent="0.25">
      <c r="Y118" s="145"/>
      <c r="Z118" s="146"/>
      <c r="AA118" s="126"/>
      <c r="AB118" s="126"/>
      <c r="AC118" s="126"/>
      <c r="AD118" s="126"/>
      <c r="AE118" s="126"/>
      <c r="AF118" s="126"/>
      <c r="AG118" s="126"/>
      <c r="AH118" s="126"/>
      <c r="AI118" s="126"/>
      <c r="AJ118" s="126"/>
      <c r="AK118" s="126"/>
      <c r="AL118" s="126"/>
    </row>
    <row r="119" spans="25:38" x14ac:dyDescent="0.25">
      <c r="Y119" s="145"/>
      <c r="Z119" s="146"/>
      <c r="AA119" s="126"/>
      <c r="AB119" s="126"/>
      <c r="AC119" s="126"/>
      <c r="AD119" s="126"/>
      <c r="AE119" s="126"/>
      <c r="AF119" s="126"/>
      <c r="AG119" s="126"/>
      <c r="AH119" s="126"/>
      <c r="AI119" s="126"/>
      <c r="AJ119" s="126"/>
      <c r="AK119" s="126"/>
      <c r="AL119" s="126"/>
    </row>
    <row r="120" spans="25:38" x14ac:dyDescent="0.25">
      <c r="Y120" s="145"/>
      <c r="Z120" s="146"/>
      <c r="AA120" s="126"/>
      <c r="AB120" s="126"/>
      <c r="AC120" s="126"/>
      <c r="AD120" s="126"/>
      <c r="AE120" s="126"/>
      <c r="AF120" s="126"/>
      <c r="AG120" s="126"/>
      <c r="AH120" s="126"/>
      <c r="AI120" s="126"/>
      <c r="AJ120" s="126"/>
      <c r="AK120" s="126"/>
      <c r="AL120" s="126"/>
    </row>
    <row r="121" spans="25:38" x14ac:dyDescent="0.25">
      <c r="Y121" s="145"/>
      <c r="Z121" s="146"/>
      <c r="AA121" s="126"/>
      <c r="AB121" s="126"/>
      <c r="AC121" s="126"/>
      <c r="AD121" s="126"/>
      <c r="AE121" s="126"/>
      <c r="AF121" s="126"/>
      <c r="AG121" s="126"/>
      <c r="AH121" s="126"/>
      <c r="AI121" s="126"/>
      <c r="AJ121" s="126"/>
      <c r="AK121" s="126"/>
      <c r="AL121" s="126"/>
    </row>
    <row r="122" spans="25:38" x14ac:dyDescent="0.25">
      <c r="Y122" s="145"/>
      <c r="Z122" s="146"/>
      <c r="AA122" s="126"/>
      <c r="AB122" s="126"/>
      <c r="AC122" s="126"/>
      <c r="AD122" s="126"/>
      <c r="AE122" s="126"/>
      <c r="AF122" s="126"/>
      <c r="AG122" s="126"/>
      <c r="AH122" s="126"/>
      <c r="AI122" s="126"/>
      <c r="AJ122" s="126"/>
      <c r="AK122" s="126"/>
      <c r="AL122" s="126"/>
    </row>
    <row r="123" spans="25:38" x14ac:dyDescent="0.25">
      <c r="Y123" s="147"/>
      <c r="Z123" s="148"/>
      <c r="AA123" s="126"/>
      <c r="AB123" s="126"/>
      <c r="AC123" s="126"/>
      <c r="AD123" s="126"/>
      <c r="AE123" s="126"/>
      <c r="AF123" s="126"/>
      <c r="AG123" s="126"/>
      <c r="AH123" s="126"/>
      <c r="AI123" s="126"/>
      <c r="AJ123" s="126"/>
      <c r="AK123" s="126"/>
      <c r="AL123" s="126"/>
    </row>
    <row r="124" spans="25:38" x14ac:dyDescent="0.25">
      <c r="Y124" s="137"/>
      <c r="Z124" s="138"/>
      <c r="AA124" s="125"/>
      <c r="AB124" s="125"/>
      <c r="AC124" s="125"/>
      <c r="AD124" s="125"/>
      <c r="AE124" s="125"/>
      <c r="AF124" s="125"/>
      <c r="AG124" s="125"/>
      <c r="AH124" s="125"/>
      <c r="AI124" s="125"/>
      <c r="AJ124" s="125"/>
      <c r="AK124" s="125"/>
      <c r="AL124" s="125"/>
    </row>
    <row r="125" spans="25:38" x14ac:dyDescent="0.25">
      <c r="Y125" s="139"/>
      <c r="Z125" s="140"/>
      <c r="AA125" s="125"/>
      <c r="AB125" s="125"/>
      <c r="AC125" s="125"/>
      <c r="AD125" s="125"/>
      <c r="AE125" s="125"/>
      <c r="AF125" s="125"/>
      <c r="AG125" s="125"/>
      <c r="AH125" s="125"/>
      <c r="AI125" s="125"/>
      <c r="AJ125" s="125"/>
      <c r="AK125" s="125"/>
      <c r="AL125" s="125"/>
    </row>
    <row r="126" spans="25:38" x14ac:dyDescent="0.25">
      <c r="Y126" s="139"/>
      <c r="Z126" s="140"/>
      <c r="AA126" s="125"/>
      <c r="AB126" s="125"/>
      <c r="AC126" s="125"/>
      <c r="AD126" s="125"/>
      <c r="AE126" s="125"/>
      <c r="AF126" s="125"/>
      <c r="AG126" s="125"/>
      <c r="AH126" s="125"/>
      <c r="AI126" s="125"/>
      <c r="AJ126" s="125"/>
      <c r="AK126" s="125"/>
      <c r="AL126" s="125"/>
    </row>
    <row r="127" spans="25:38" x14ac:dyDescent="0.25">
      <c r="Y127" s="139"/>
      <c r="Z127" s="140"/>
      <c r="AA127" s="125"/>
      <c r="AB127" s="125"/>
      <c r="AC127" s="125"/>
      <c r="AD127" s="125"/>
      <c r="AE127" s="125"/>
      <c r="AF127" s="125"/>
      <c r="AG127" s="125"/>
      <c r="AH127" s="125"/>
      <c r="AI127" s="125"/>
      <c r="AJ127" s="125"/>
      <c r="AK127" s="125"/>
      <c r="AL127" s="125"/>
    </row>
    <row r="128" spans="25:38" x14ac:dyDescent="0.25">
      <c r="Y128" s="139"/>
      <c r="Z128" s="140"/>
      <c r="AA128" s="125"/>
      <c r="AB128" s="125"/>
      <c r="AC128" s="125"/>
      <c r="AD128" s="125"/>
      <c r="AE128" s="125"/>
      <c r="AF128" s="125"/>
      <c r="AG128" s="125"/>
      <c r="AH128" s="125"/>
      <c r="AI128" s="125"/>
      <c r="AJ128" s="125"/>
      <c r="AK128" s="125"/>
      <c r="AL128" s="125"/>
    </row>
    <row r="129" spans="25:38" x14ac:dyDescent="0.25">
      <c r="Y129" s="139"/>
      <c r="Z129" s="140"/>
      <c r="AA129" s="125"/>
      <c r="AB129" s="125"/>
      <c r="AC129" s="125"/>
      <c r="AD129" s="125"/>
      <c r="AE129" s="125"/>
      <c r="AF129" s="125"/>
      <c r="AG129" s="125"/>
      <c r="AH129" s="125"/>
      <c r="AI129" s="125"/>
      <c r="AJ129" s="125"/>
      <c r="AK129" s="125"/>
      <c r="AL129" s="125"/>
    </row>
    <row r="130" spans="25:38" x14ac:dyDescent="0.25">
      <c r="Y130" s="139"/>
      <c r="Z130" s="140"/>
      <c r="AA130" s="125"/>
      <c r="AB130" s="125"/>
      <c r="AC130" s="125"/>
      <c r="AD130" s="125"/>
      <c r="AE130" s="125"/>
      <c r="AF130" s="125"/>
      <c r="AG130" s="125"/>
      <c r="AH130" s="125"/>
      <c r="AI130" s="125"/>
      <c r="AJ130" s="125"/>
      <c r="AK130" s="125"/>
      <c r="AL130" s="125"/>
    </row>
    <row r="131" spans="25:38" x14ac:dyDescent="0.25">
      <c r="Y131" s="139"/>
      <c r="Z131" s="140"/>
      <c r="AA131" s="125"/>
      <c r="AB131" s="125"/>
      <c r="AC131" s="125"/>
      <c r="AD131" s="125"/>
      <c r="AE131" s="125"/>
      <c r="AF131" s="125"/>
      <c r="AG131" s="125"/>
      <c r="AH131" s="125"/>
      <c r="AI131" s="125"/>
      <c r="AJ131" s="125"/>
      <c r="AK131" s="125"/>
      <c r="AL131" s="125"/>
    </row>
    <row r="132" spans="25:38" x14ac:dyDescent="0.25">
      <c r="Y132" s="139"/>
      <c r="Z132" s="140"/>
      <c r="AA132" s="125"/>
      <c r="AB132" s="125"/>
      <c r="AC132" s="125"/>
      <c r="AD132" s="125"/>
      <c r="AE132" s="125"/>
      <c r="AF132" s="125"/>
      <c r="AG132" s="125"/>
      <c r="AH132" s="125"/>
      <c r="AI132" s="125"/>
      <c r="AJ132" s="125"/>
      <c r="AK132" s="125"/>
      <c r="AL132" s="125"/>
    </row>
    <row r="133" spans="25:38" x14ac:dyDescent="0.25">
      <c r="Y133" s="139"/>
      <c r="Z133" s="140"/>
      <c r="AA133" s="125"/>
      <c r="AB133" s="125"/>
      <c r="AC133" s="125"/>
      <c r="AD133" s="125"/>
      <c r="AE133" s="125"/>
      <c r="AF133" s="125"/>
      <c r="AG133" s="125"/>
      <c r="AH133" s="125"/>
      <c r="AI133" s="125"/>
      <c r="AJ133" s="125"/>
      <c r="AK133" s="125"/>
      <c r="AL133" s="125"/>
    </row>
    <row r="134" spans="25:38" x14ac:dyDescent="0.25">
      <c r="Y134" s="139"/>
      <c r="Z134" s="140"/>
      <c r="AA134" s="125"/>
      <c r="AB134" s="125"/>
      <c r="AC134" s="125"/>
      <c r="AD134" s="125"/>
      <c r="AE134" s="125"/>
      <c r="AF134" s="125"/>
      <c r="AG134" s="125"/>
      <c r="AH134" s="125"/>
      <c r="AI134" s="125"/>
      <c r="AJ134" s="125"/>
      <c r="AK134" s="125"/>
      <c r="AL134" s="125"/>
    </row>
    <row r="135" spans="25:38" x14ac:dyDescent="0.25">
      <c r="Y135" s="139"/>
      <c r="Z135" s="140"/>
      <c r="AA135" s="125"/>
      <c r="AB135" s="125"/>
      <c r="AC135" s="125"/>
      <c r="AD135" s="125"/>
      <c r="AE135" s="125"/>
      <c r="AF135" s="125"/>
      <c r="AG135" s="125"/>
      <c r="AH135" s="125"/>
      <c r="AI135" s="125"/>
      <c r="AJ135" s="125"/>
      <c r="AK135" s="125"/>
      <c r="AL135" s="125"/>
    </row>
    <row r="136" spans="25:38" x14ac:dyDescent="0.25">
      <c r="Y136" s="139"/>
      <c r="Z136" s="140"/>
      <c r="AA136" s="125"/>
      <c r="AB136" s="125"/>
      <c r="AC136" s="125"/>
      <c r="AD136" s="125"/>
      <c r="AE136" s="125"/>
      <c r="AF136" s="125"/>
      <c r="AG136" s="125"/>
      <c r="AH136" s="125"/>
      <c r="AI136" s="125"/>
      <c r="AJ136" s="125"/>
      <c r="AK136" s="125"/>
      <c r="AL136" s="125"/>
    </row>
    <row r="137" spans="25:38" x14ac:dyDescent="0.25">
      <c r="Y137" s="139"/>
      <c r="Z137" s="140"/>
      <c r="AA137" s="125"/>
      <c r="AB137" s="125"/>
      <c r="AC137" s="125"/>
      <c r="AD137" s="125"/>
      <c r="AE137" s="125"/>
      <c r="AF137" s="125"/>
      <c r="AG137" s="125"/>
      <c r="AH137" s="125"/>
      <c r="AI137" s="125"/>
      <c r="AJ137" s="125"/>
      <c r="AK137" s="125"/>
      <c r="AL137" s="125"/>
    </row>
    <row r="138" spans="25:38" x14ac:dyDescent="0.25">
      <c r="Y138" s="139"/>
      <c r="Z138" s="140"/>
      <c r="AA138" s="125"/>
      <c r="AB138" s="125"/>
      <c r="AC138" s="125"/>
      <c r="AD138" s="125"/>
      <c r="AE138" s="125"/>
      <c r="AF138" s="125"/>
      <c r="AG138" s="125"/>
      <c r="AH138" s="125"/>
      <c r="AI138" s="125"/>
      <c r="AJ138" s="125"/>
      <c r="AK138" s="125"/>
      <c r="AL138" s="125"/>
    </row>
    <row r="139" spans="25:38" x14ac:dyDescent="0.25">
      <c r="Y139" s="139"/>
      <c r="Z139" s="140"/>
      <c r="AA139" s="125"/>
      <c r="AB139" s="125"/>
      <c r="AC139" s="125"/>
      <c r="AD139" s="125"/>
      <c r="AE139" s="125"/>
      <c r="AF139" s="125"/>
      <c r="AG139" s="125"/>
      <c r="AH139" s="125"/>
      <c r="AI139" s="125"/>
      <c r="AJ139" s="125"/>
      <c r="AK139" s="125"/>
      <c r="AL139" s="125"/>
    </row>
    <row r="140" spans="25:38" x14ac:dyDescent="0.25">
      <c r="Y140" s="139"/>
      <c r="Z140" s="140"/>
      <c r="AA140" s="125"/>
      <c r="AB140" s="125"/>
      <c r="AC140" s="125"/>
      <c r="AD140" s="125"/>
      <c r="AE140" s="125"/>
      <c r="AF140" s="125"/>
      <c r="AG140" s="125"/>
      <c r="AH140" s="125"/>
      <c r="AI140" s="125"/>
      <c r="AJ140" s="125"/>
      <c r="AK140" s="125"/>
      <c r="AL140" s="125"/>
    </row>
    <row r="141" spans="25:38" x14ac:dyDescent="0.25">
      <c r="Y141" s="139"/>
      <c r="Z141" s="140"/>
      <c r="AA141" s="125"/>
      <c r="AB141" s="125"/>
      <c r="AC141" s="125"/>
      <c r="AD141" s="125"/>
      <c r="AE141" s="125"/>
      <c r="AF141" s="125"/>
      <c r="AG141" s="125"/>
      <c r="AH141" s="125"/>
      <c r="AI141" s="125"/>
      <c r="AJ141" s="125"/>
      <c r="AK141" s="125"/>
      <c r="AL141" s="125"/>
    </row>
    <row r="142" spans="25:38" x14ac:dyDescent="0.25">
      <c r="Y142" s="139"/>
      <c r="Z142" s="140"/>
      <c r="AA142" s="125"/>
      <c r="AB142" s="125"/>
      <c r="AC142" s="125"/>
      <c r="AD142" s="125"/>
      <c r="AE142" s="125"/>
      <c r="AF142" s="125"/>
      <c r="AG142" s="125"/>
      <c r="AH142" s="125"/>
      <c r="AI142" s="125"/>
      <c r="AJ142" s="125"/>
      <c r="AK142" s="125"/>
      <c r="AL142" s="125"/>
    </row>
    <row r="143" spans="25:38" x14ac:dyDescent="0.25">
      <c r="Y143" s="139"/>
      <c r="Z143" s="140"/>
      <c r="AA143" s="125"/>
      <c r="AB143" s="125"/>
      <c r="AC143" s="125"/>
      <c r="AD143" s="125"/>
      <c r="AE143" s="125"/>
      <c r="AF143" s="125"/>
      <c r="AG143" s="125"/>
      <c r="AH143" s="125"/>
      <c r="AI143" s="125"/>
      <c r="AJ143" s="125"/>
      <c r="AK143" s="125"/>
      <c r="AL143" s="125"/>
    </row>
    <row r="144" spans="25:38" x14ac:dyDescent="0.25">
      <c r="Y144" s="139"/>
      <c r="Z144" s="140"/>
      <c r="AA144" s="125"/>
      <c r="AB144" s="125"/>
      <c r="AC144" s="125"/>
      <c r="AD144" s="125"/>
      <c r="AE144" s="125"/>
      <c r="AF144" s="125"/>
      <c r="AG144" s="125"/>
      <c r="AH144" s="125"/>
      <c r="AI144" s="125"/>
      <c r="AJ144" s="125"/>
      <c r="AK144" s="125"/>
      <c r="AL144" s="125"/>
    </row>
    <row r="145" spans="25:38" x14ac:dyDescent="0.25">
      <c r="Y145" s="139"/>
      <c r="Z145" s="140"/>
      <c r="AA145" s="125"/>
      <c r="AB145" s="125"/>
      <c r="AC145" s="125"/>
      <c r="AD145" s="125"/>
      <c r="AE145" s="125"/>
      <c r="AF145" s="125"/>
      <c r="AG145" s="125"/>
      <c r="AH145" s="125"/>
      <c r="AI145" s="125"/>
      <c r="AJ145" s="125"/>
      <c r="AK145" s="125"/>
      <c r="AL145" s="125"/>
    </row>
    <row r="146" spans="25:38" x14ac:dyDescent="0.25">
      <c r="Y146" s="139"/>
      <c r="Z146" s="140"/>
      <c r="AA146" s="125"/>
      <c r="AB146" s="125"/>
      <c r="AC146" s="125"/>
      <c r="AD146" s="125"/>
      <c r="AE146" s="125"/>
      <c r="AF146" s="125"/>
      <c r="AG146" s="125"/>
      <c r="AH146" s="125"/>
      <c r="AI146" s="125"/>
      <c r="AJ146" s="125"/>
      <c r="AK146" s="125"/>
      <c r="AL146" s="125"/>
    </row>
    <row r="147" spans="25:38" x14ac:dyDescent="0.25">
      <c r="Y147" s="139"/>
      <c r="Z147" s="140"/>
      <c r="AA147" s="125"/>
      <c r="AB147" s="125"/>
      <c r="AC147" s="125"/>
      <c r="AD147" s="125"/>
      <c r="AE147" s="125"/>
      <c r="AF147" s="125"/>
      <c r="AG147" s="125"/>
      <c r="AH147" s="125"/>
      <c r="AI147" s="125"/>
      <c r="AJ147" s="125"/>
      <c r="AK147" s="125"/>
      <c r="AL147" s="125"/>
    </row>
    <row r="148" spans="25:38" x14ac:dyDescent="0.25">
      <c r="Y148" s="139"/>
      <c r="Z148" s="140"/>
      <c r="AA148" s="125"/>
      <c r="AB148" s="125"/>
      <c r="AC148" s="125"/>
      <c r="AD148" s="125"/>
      <c r="AE148" s="125"/>
      <c r="AF148" s="125"/>
      <c r="AG148" s="125"/>
      <c r="AH148" s="125"/>
      <c r="AI148" s="125"/>
      <c r="AJ148" s="125"/>
      <c r="AK148" s="125"/>
      <c r="AL148" s="125"/>
    </row>
    <row r="149" spans="25:38" x14ac:dyDescent="0.25">
      <c r="Y149" s="139"/>
      <c r="Z149" s="140"/>
      <c r="AA149" s="125"/>
      <c r="AB149" s="125"/>
      <c r="AC149" s="125"/>
      <c r="AD149" s="125"/>
      <c r="AE149" s="125"/>
      <c r="AF149" s="125"/>
      <c r="AG149" s="125"/>
      <c r="AH149" s="125"/>
      <c r="AI149" s="125"/>
      <c r="AJ149" s="125"/>
      <c r="AK149" s="125"/>
      <c r="AL149" s="125"/>
    </row>
    <row r="150" spans="25:38" x14ac:dyDescent="0.25">
      <c r="Y150" s="139"/>
      <c r="Z150" s="140"/>
      <c r="AA150" s="125"/>
      <c r="AB150" s="125"/>
      <c r="AC150" s="125"/>
      <c r="AD150" s="125"/>
      <c r="AE150" s="125"/>
      <c r="AF150" s="125"/>
      <c r="AG150" s="125"/>
      <c r="AH150" s="125"/>
      <c r="AI150" s="125"/>
      <c r="AJ150" s="125"/>
      <c r="AK150" s="125"/>
      <c r="AL150" s="125"/>
    </row>
    <row r="151" spans="25:38" x14ac:dyDescent="0.25">
      <c r="Y151" s="139"/>
      <c r="Z151" s="140"/>
      <c r="AA151" s="125"/>
      <c r="AB151" s="125"/>
      <c r="AC151" s="125"/>
      <c r="AD151" s="125"/>
      <c r="AE151" s="125"/>
      <c r="AF151" s="125"/>
      <c r="AG151" s="125"/>
      <c r="AH151" s="125"/>
      <c r="AI151" s="125"/>
      <c r="AJ151" s="125"/>
      <c r="AK151" s="125"/>
      <c r="AL151" s="125"/>
    </row>
    <row r="152" spans="25:38" x14ac:dyDescent="0.25">
      <c r="Y152" s="139"/>
      <c r="Z152" s="140"/>
      <c r="AA152" s="125"/>
      <c r="AB152" s="125"/>
      <c r="AC152" s="125"/>
      <c r="AD152" s="125"/>
      <c r="AE152" s="125"/>
      <c r="AF152" s="125"/>
      <c r="AG152" s="125"/>
      <c r="AH152" s="125"/>
      <c r="AI152" s="125"/>
      <c r="AJ152" s="125"/>
      <c r="AK152" s="125"/>
      <c r="AL152" s="125"/>
    </row>
    <row r="153" spans="25:38" x14ac:dyDescent="0.25">
      <c r="Y153" s="141"/>
      <c r="Z153" s="142"/>
      <c r="AA153" s="125"/>
      <c r="AB153" s="125"/>
      <c r="AC153" s="125"/>
      <c r="AD153" s="125"/>
      <c r="AE153" s="125"/>
      <c r="AF153" s="125"/>
      <c r="AG153" s="125"/>
      <c r="AH153" s="125"/>
      <c r="AI153" s="125"/>
      <c r="AJ153" s="125"/>
      <c r="AK153" s="125"/>
      <c r="AL153" s="125"/>
    </row>
    <row r="154" spans="25:38" x14ac:dyDescent="0.25">
      <c r="Y154" s="143"/>
      <c r="Z154" s="144"/>
      <c r="AA154" s="126"/>
      <c r="AB154" s="126"/>
      <c r="AC154" s="126"/>
      <c r="AD154" s="126"/>
      <c r="AE154" s="126"/>
      <c r="AF154" s="126"/>
      <c r="AG154" s="126"/>
      <c r="AH154" s="126"/>
      <c r="AI154" s="126"/>
      <c r="AJ154" s="126"/>
      <c r="AK154" s="126"/>
      <c r="AL154" s="126"/>
    </row>
    <row r="155" spans="25:38" x14ac:dyDescent="0.25">
      <c r="Y155" s="145"/>
      <c r="Z155" s="146"/>
      <c r="AA155" s="126"/>
      <c r="AB155" s="126"/>
      <c r="AC155" s="126"/>
      <c r="AD155" s="126"/>
      <c r="AE155" s="126"/>
      <c r="AF155" s="126"/>
      <c r="AG155" s="126"/>
      <c r="AH155" s="126"/>
      <c r="AI155" s="126"/>
      <c r="AJ155" s="126"/>
      <c r="AK155" s="126"/>
      <c r="AL155" s="126"/>
    </row>
    <row r="156" spans="25:38" x14ac:dyDescent="0.25">
      <c r="Y156" s="145"/>
      <c r="Z156" s="146"/>
      <c r="AA156" s="126"/>
      <c r="AB156" s="126"/>
      <c r="AC156" s="126"/>
      <c r="AD156" s="126"/>
      <c r="AE156" s="126"/>
      <c r="AF156" s="126"/>
      <c r="AG156" s="126"/>
      <c r="AH156" s="126"/>
      <c r="AI156" s="126"/>
      <c r="AJ156" s="126"/>
      <c r="AK156" s="126"/>
      <c r="AL156" s="126"/>
    </row>
    <row r="157" spans="25:38" x14ac:dyDescent="0.25">
      <c r="Y157" s="145"/>
      <c r="Z157" s="146"/>
      <c r="AA157" s="126"/>
      <c r="AB157" s="126"/>
      <c r="AC157" s="126"/>
      <c r="AD157" s="126"/>
      <c r="AE157" s="126"/>
      <c r="AF157" s="126"/>
      <c r="AG157" s="126"/>
      <c r="AH157" s="126"/>
      <c r="AI157" s="126"/>
      <c r="AJ157" s="126"/>
      <c r="AK157" s="126"/>
      <c r="AL157" s="126"/>
    </row>
    <row r="158" spans="25:38" x14ac:dyDescent="0.25">
      <c r="Y158" s="145"/>
      <c r="Z158" s="146"/>
      <c r="AA158" s="126"/>
      <c r="AB158" s="126"/>
      <c r="AC158" s="126"/>
      <c r="AD158" s="126"/>
      <c r="AE158" s="126"/>
      <c r="AF158" s="126"/>
      <c r="AG158" s="126"/>
      <c r="AH158" s="126"/>
      <c r="AI158" s="126"/>
      <c r="AJ158" s="126"/>
      <c r="AK158" s="126"/>
      <c r="AL158" s="126"/>
    </row>
    <row r="159" spans="25:38" x14ac:dyDescent="0.25">
      <c r="Y159" s="145"/>
      <c r="Z159" s="146"/>
      <c r="AA159" s="126"/>
      <c r="AB159" s="126"/>
      <c r="AC159" s="126"/>
      <c r="AD159" s="126"/>
      <c r="AE159" s="126"/>
      <c r="AF159" s="126"/>
      <c r="AG159" s="126"/>
      <c r="AH159" s="126"/>
      <c r="AI159" s="126"/>
      <c r="AJ159" s="126"/>
      <c r="AK159" s="126"/>
      <c r="AL159" s="126"/>
    </row>
    <row r="160" spans="25:38" x14ac:dyDescent="0.25">
      <c r="Y160" s="145"/>
      <c r="Z160" s="146"/>
      <c r="AA160" s="126"/>
      <c r="AB160" s="126"/>
      <c r="AC160" s="126"/>
      <c r="AD160" s="126"/>
      <c r="AE160" s="126"/>
      <c r="AF160" s="126"/>
      <c r="AG160" s="126"/>
      <c r="AH160" s="126"/>
      <c r="AI160" s="126"/>
      <c r="AJ160" s="126"/>
      <c r="AK160" s="126"/>
      <c r="AL160" s="126"/>
    </row>
    <row r="161" spans="25:38" x14ac:dyDescent="0.25">
      <c r="Y161" s="145"/>
      <c r="Z161" s="146"/>
      <c r="AA161" s="126"/>
      <c r="AB161" s="126"/>
      <c r="AC161" s="126"/>
      <c r="AD161" s="126"/>
      <c r="AE161" s="126"/>
      <c r="AF161" s="126"/>
      <c r="AG161" s="126"/>
      <c r="AH161" s="126"/>
      <c r="AI161" s="126"/>
      <c r="AJ161" s="126"/>
      <c r="AK161" s="126"/>
      <c r="AL161" s="126"/>
    </row>
    <row r="162" spans="25:38" x14ac:dyDescent="0.25">
      <c r="Y162" s="145"/>
      <c r="Z162" s="146"/>
      <c r="AA162" s="126"/>
      <c r="AB162" s="126"/>
      <c r="AC162" s="126"/>
      <c r="AD162" s="126"/>
      <c r="AE162" s="126"/>
      <c r="AF162" s="126"/>
      <c r="AG162" s="126"/>
      <c r="AH162" s="126"/>
      <c r="AI162" s="126"/>
      <c r="AJ162" s="126"/>
      <c r="AK162" s="126"/>
      <c r="AL162" s="126"/>
    </row>
    <row r="163" spans="25:38" x14ac:dyDescent="0.25">
      <c r="Y163" s="145"/>
      <c r="Z163" s="146"/>
      <c r="AA163" s="126"/>
      <c r="AB163" s="126"/>
      <c r="AC163" s="126"/>
      <c r="AD163" s="126"/>
      <c r="AE163" s="126"/>
      <c r="AF163" s="126"/>
      <c r="AG163" s="126"/>
      <c r="AH163" s="126"/>
      <c r="AI163" s="126"/>
      <c r="AJ163" s="126"/>
      <c r="AK163" s="126"/>
      <c r="AL163" s="126"/>
    </row>
    <row r="164" spans="25:38" x14ac:dyDescent="0.25">
      <c r="Y164" s="145"/>
      <c r="Z164" s="146"/>
      <c r="AA164" s="126"/>
      <c r="AB164" s="126"/>
      <c r="AC164" s="126"/>
      <c r="AD164" s="126"/>
      <c r="AE164" s="126"/>
      <c r="AF164" s="126"/>
      <c r="AG164" s="126"/>
      <c r="AH164" s="126"/>
      <c r="AI164" s="126"/>
      <c r="AJ164" s="126"/>
      <c r="AK164" s="126"/>
      <c r="AL164" s="126"/>
    </row>
    <row r="165" spans="25:38" x14ac:dyDescent="0.25">
      <c r="Y165" s="145"/>
      <c r="Z165" s="146"/>
      <c r="AA165" s="126"/>
      <c r="AB165" s="126"/>
      <c r="AC165" s="126"/>
      <c r="AD165" s="126"/>
      <c r="AE165" s="126"/>
      <c r="AF165" s="126"/>
      <c r="AG165" s="126"/>
      <c r="AH165" s="126"/>
      <c r="AI165" s="126"/>
      <c r="AJ165" s="126"/>
      <c r="AK165" s="126"/>
      <c r="AL165" s="126"/>
    </row>
    <row r="166" spans="25:38" x14ac:dyDescent="0.25">
      <c r="Y166" s="145"/>
      <c r="Z166" s="146"/>
      <c r="AA166" s="126"/>
      <c r="AB166" s="126"/>
      <c r="AC166" s="126"/>
      <c r="AD166" s="126"/>
      <c r="AE166" s="126"/>
      <c r="AF166" s="126"/>
      <c r="AG166" s="126"/>
      <c r="AH166" s="126"/>
      <c r="AI166" s="126"/>
      <c r="AJ166" s="126"/>
      <c r="AK166" s="126"/>
      <c r="AL166" s="126"/>
    </row>
    <row r="167" spans="25:38" x14ac:dyDescent="0.25">
      <c r="Y167" s="145"/>
      <c r="Z167" s="146"/>
      <c r="AA167" s="126"/>
      <c r="AB167" s="126"/>
      <c r="AC167" s="126"/>
      <c r="AD167" s="126"/>
      <c r="AE167" s="126"/>
      <c r="AF167" s="126"/>
      <c r="AG167" s="126"/>
      <c r="AH167" s="126"/>
      <c r="AI167" s="126"/>
      <c r="AJ167" s="126"/>
      <c r="AK167" s="126"/>
      <c r="AL167" s="126"/>
    </row>
    <row r="168" spans="25:38" x14ac:dyDescent="0.25">
      <c r="Y168" s="145"/>
      <c r="Z168" s="146"/>
      <c r="AA168" s="126"/>
      <c r="AB168" s="126"/>
      <c r="AC168" s="126"/>
      <c r="AD168" s="126"/>
      <c r="AE168" s="126"/>
      <c r="AF168" s="126"/>
      <c r="AG168" s="126"/>
      <c r="AH168" s="126"/>
      <c r="AI168" s="126"/>
      <c r="AJ168" s="126"/>
      <c r="AK168" s="126"/>
      <c r="AL168" s="126"/>
    </row>
    <row r="169" spans="25:38" x14ac:dyDescent="0.25">
      <c r="Y169" s="145"/>
      <c r="Z169" s="146"/>
      <c r="AA169" s="126"/>
      <c r="AB169" s="126"/>
      <c r="AC169" s="126"/>
      <c r="AD169" s="126"/>
      <c r="AE169" s="126"/>
      <c r="AF169" s="126"/>
      <c r="AG169" s="126"/>
      <c r="AH169" s="126"/>
      <c r="AI169" s="126"/>
      <c r="AJ169" s="126"/>
      <c r="AK169" s="126"/>
      <c r="AL169" s="126"/>
    </row>
    <row r="170" spans="25:38" x14ac:dyDescent="0.25">
      <c r="Y170" s="145"/>
      <c r="Z170" s="146"/>
      <c r="AA170" s="126"/>
      <c r="AB170" s="126"/>
      <c r="AC170" s="126"/>
      <c r="AD170" s="126"/>
      <c r="AE170" s="126"/>
      <c r="AF170" s="126"/>
      <c r="AG170" s="126"/>
      <c r="AH170" s="126"/>
      <c r="AI170" s="126"/>
      <c r="AJ170" s="126"/>
      <c r="AK170" s="126"/>
      <c r="AL170" s="126"/>
    </row>
    <row r="171" spans="25:38" x14ac:dyDescent="0.25">
      <c r="Y171" s="145"/>
      <c r="Z171" s="146"/>
      <c r="AA171" s="126"/>
      <c r="AB171" s="126"/>
      <c r="AC171" s="126"/>
      <c r="AD171" s="126"/>
      <c r="AE171" s="126"/>
      <c r="AF171" s="126"/>
      <c r="AG171" s="126"/>
      <c r="AH171" s="126"/>
      <c r="AI171" s="126"/>
      <c r="AJ171" s="126"/>
      <c r="AK171" s="126"/>
      <c r="AL171" s="126"/>
    </row>
    <row r="172" spans="25:38" x14ac:dyDescent="0.25">
      <c r="Y172" s="145"/>
      <c r="Z172" s="146"/>
      <c r="AA172" s="126"/>
      <c r="AB172" s="126"/>
      <c r="AC172" s="126"/>
      <c r="AD172" s="126"/>
      <c r="AE172" s="126"/>
      <c r="AF172" s="126"/>
      <c r="AG172" s="126"/>
      <c r="AH172" s="126"/>
      <c r="AI172" s="126"/>
      <c r="AJ172" s="126"/>
      <c r="AK172" s="126"/>
      <c r="AL172" s="126"/>
    </row>
    <row r="173" spans="25:38" x14ac:dyDescent="0.25">
      <c r="Y173" s="145"/>
      <c r="Z173" s="146"/>
      <c r="AA173" s="126"/>
      <c r="AB173" s="126"/>
      <c r="AC173" s="126"/>
      <c r="AD173" s="126"/>
      <c r="AE173" s="126"/>
      <c r="AF173" s="126"/>
      <c r="AG173" s="126"/>
      <c r="AH173" s="126"/>
      <c r="AI173" s="126"/>
      <c r="AJ173" s="126"/>
      <c r="AK173" s="126"/>
      <c r="AL173" s="126"/>
    </row>
    <row r="174" spans="25:38" x14ac:dyDescent="0.25">
      <c r="Y174" s="145"/>
      <c r="Z174" s="146"/>
      <c r="AA174" s="126"/>
      <c r="AB174" s="126"/>
      <c r="AC174" s="126"/>
      <c r="AD174" s="126"/>
      <c r="AE174" s="126"/>
      <c r="AF174" s="126"/>
      <c r="AG174" s="126"/>
      <c r="AH174" s="126"/>
      <c r="AI174" s="126"/>
      <c r="AJ174" s="126"/>
      <c r="AK174" s="126"/>
      <c r="AL174" s="126"/>
    </row>
    <row r="175" spans="25:38" x14ac:dyDescent="0.25">
      <c r="Y175" s="145"/>
      <c r="Z175" s="146"/>
      <c r="AA175" s="126"/>
      <c r="AB175" s="126"/>
      <c r="AC175" s="126"/>
      <c r="AD175" s="126"/>
      <c r="AE175" s="126"/>
      <c r="AF175" s="126"/>
      <c r="AG175" s="126"/>
      <c r="AH175" s="126"/>
      <c r="AI175" s="126"/>
      <c r="AJ175" s="126"/>
      <c r="AK175" s="126"/>
      <c r="AL175" s="126"/>
    </row>
    <row r="176" spans="25:38" x14ac:dyDescent="0.25">
      <c r="Y176" s="145"/>
      <c r="Z176" s="146"/>
      <c r="AA176" s="126"/>
      <c r="AB176" s="126"/>
      <c r="AC176" s="126"/>
      <c r="AD176" s="126"/>
      <c r="AE176" s="126"/>
      <c r="AF176" s="126"/>
      <c r="AG176" s="126"/>
      <c r="AH176" s="126"/>
      <c r="AI176" s="126"/>
      <c r="AJ176" s="126"/>
      <c r="AK176" s="126"/>
      <c r="AL176" s="126"/>
    </row>
    <row r="177" spans="25:38" x14ac:dyDescent="0.25">
      <c r="Y177" s="145"/>
      <c r="Z177" s="146"/>
      <c r="AA177" s="126"/>
      <c r="AB177" s="126"/>
      <c r="AC177" s="126"/>
      <c r="AD177" s="126"/>
      <c r="AE177" s="126"/>
      <c r="AF177" s="126"/>
      <c r="AG177" s="126"/>
      <c r="AH177" s="126"/>
      <c r="AI177" s="126"/>
      <c r="AJ177" s="126"/>
      <c r="AK177" s="126"/>
      <c r="AL177" s="126"/>
    </row>
    <row r="178" spans="25:38" x14ac:dyDescent="0.25">
      <c r="Y178" s="145"/>
      <c r="Z178" s="146"/>
      <c r="AA178" s="126"/>
      <c r="AB178" s="126"/>
      <c r="AC178" s="126"/>
      <c r="AD178" s="126"/>
      <c r="AE178" s="126"/>
      <c r="AF178" s="126"/>
      <c r="AG178" s="126"/>
      <c r="AH178" s="126"/>
      <c r="AI178" s="126"/>
      <c r="AJ178" s="126"/>
      <c r="AK178" s="126"/>
      <c r="AL178" s="126"/>
    </row>
    <row r="179" spans="25:38" x14ac:dyDescent="0.25">
      <c r="Y179" s="145"/>
      <c r="Z179" s="146"/>
      <c r="AA179" s="126"/>
      <c r="AB179" s="126"/>
      <c r="AC179" s="126"/>
      <c r="AD179" s="126"/>
      <c r="AE179" s="126"/>
      <c r="AF179" s="126"/>
      <c r="AG179" s="126"/>
      <c r="AH179" s="126"/>
      <c r="AI179" s="126"/>
      <c r="AJ179" s="126"/>
      <c r="AK179" s="126"/>
      <c r="AL179" s="126"/>
    </row>
    <row r="180" spans="25:38" x14ac:dyDescent="0.25">
      <c r="Y180" s="145"/>
      <c r="Z180" s="146"/>
      <c r="AA180" s="126"/>
      <c r="AB180" s="126"/>
      <c r="AC180" s="126"/>
      <c r="AD180" s="126"/>
      <c r="AE180" s="126"/>
      <c r="AF180" s="126"/>
      <c r="AG180" s="126"/>
      <c r="AH180" s="126"/>
      <c r="AI180" s="126"/>
      <c r="AJ180" s="126"/>
      <c r="AK180" s="126"/>
      <c r="AL180" s="126"/>
    </row>
    <row r="181" spans="25:38" x14ac:dyDescent="0.25">
      <c r="Y181" s="145"/>
      <c r="Z181" s="146"/>
      <c r="AA181" s="126"/>
      <c r="AB181" s="126"/>
      <c r="AC181" s="126"/>
      <c r="AD181" s="126"/>
      <c r="AE181" s="126"/>
      <c r="AF181" s="126"/>
      <c r="AG181" s="126"/>
      <c r="AH181" s="126"/>
      <c r="AI181" s="126"/>
      <c r="AJ181" s="126"/>
      <c r="AK181" s="126"/>
      <c r="AL181" s="126"/>
    </row>
    <row r="182" spans="25:38" x14ac:dyDescent="0.25">
      <c r="Y182" s="145"/>
      <c r="Z182" s="146"/>
      <c r="AA182" s="126"/>
      <c r="AB182" s="126"/>
      <c r="AC182" s="126"/>
      <c r="AD182" s="126"/>
      <c r="AE182" s="126"/>
      <c r="AF182" s="126"/>
      <c r="AG182" s="126"/>
      <c r="AH182" s="126"/>
      <c r="AI182" s="126"/>
      <c r="AJ182" s="126"/>
      <c r="AK182" s="126"/>
      <c r="AL182" s="126"/>
    </row>
    <row r="183" spans="25:38" x14ac:dyDescent="0.25">
      <c r="Y183" s="147"/>
      <c r="Z183" s="148"/>
      <c r="AA183" s="126"/>
      <c r="AB183" s="126"/>
      <c r="AC183" s="126"/>
      <c r="AD183" s="126"/>
      <c r="AE183" s="126"/>
      <c r="AF183" s="126"/>
      <c r="AG183" s="126"/>
      <c r="AH183" s="126"/>
      <c r="AI183" s="126"/>
      <c r="AJ183" s="126"/>
      <c r="AK183" s="126"/>
      <c r="AL183" s="126"/>
    </row>
    <row r="184" spans="25:38" x14ac:dyDescent="0.25">
      <c r="Y184" s="137"/>
      <c r="Z184" s="138"/>
      <c r="AA184" s="125"/>
      <c r="AB184" s="125"/>
      <c r="AC184" s="125"/>
      <c r="AD184" s="125"/>
      <c r="AE184" s="125"/>
      <c r="AF184" s="125"/>
      <c r="AG184" s="125"/>
      <c r="AH184" s="125"/>
      <c r="AI184" s="125"/>
      <c r="AJ184" s="125"/>
      <c r="AK184" s="125"/>
      <c r="AL184" s="125"/>
    </row>
    <row r="185" spans="25:38" x14ac:dyDescent="0.25">
      <c r="Y185" s="139"/>
      <c r="Z185" s="140"/>
      <c r="AA185" s="125"/>
      <c r="AB185" s="125"/>
      <c r="AC185" s="125"/>
      <c r="AD185" s="125"/>
      <c r="AE185" s="125"/>
      <c r="AF185" s="125"/>
      <c r="AG185" s="125"/>
      <c r="AH185" s="125"/>
      <c r="AI185" s="125"/>
      <c r="AJ185" s="125"/>
      <c r="AK185" s="125"/>
      <c r="AL185" s="125"/>
    </row>
    <row r="186" spans="25:38" x14ac:dyDescent="0.25">
      <c r="Y186" s="139"/>
      <c r="Z186" s="140"/>
      <c r="AA186" s="125"/>
      <c r="AB186" s="125"/>
      <c r="AC186" s="125"/>
      <c r="AD186" s="125"/>
      <c r="AE186" s="125"/>
      <c r="AF186" s="125"/>
      <c r="AG186" s="125"/>
      <c r="AH186" s="125"/>
      <c r="AI186" s="125"/>
      <c r="AJ186" s="125"/>
      <c r="AK186" s="125"/>
      <c r="AL186" s="125"/>
    </row>
    <row r="187" spans="25:38" x14ac:dyDescent="0.25">
      <c r="Y187" s="139"/>
      <c r="Z187" s="140"/>
      <c r="AA187" s="125"/>
      <c r="AB187" s="125"/>
      <c r="AC187" s="125"/>
      <c r="AD187" s="125"/>
      <c r="AE187" s="125"/>
      <c r="AF187" s="125"/>
      <c r="AG187" s="125"/>
      <c r="AH187" s="125"/>
      <c r="AI187" s="125"/>
      <c r="AJ187" s="125"/>
      <c r="AK187" s="125"/>
      <c r="AL187" s="125"/>
    </row>
    <row r="188" spans="25:38" x14ac:dyDescent="0.25">
      <c r="Y188" s="139"/>
      <c r="Z188" s="140"/>
      <c r="AA188" s="125"/>
      <c r="AB188" s="125"/>
      <c r="AC188" s="125"/>
      <c r="AD188" s="125"/>
      <c r="AE188" s="125"/>
      <c r="AF188" s="125"/>
      <c r="AG188" s="125"/>
      <c r="AH188" s="125"/>
      <c r="AI188" s="125"/>
      <c r="AJ188" s="125"/>
      <c r="AK188" s="125"/>
      <c r="AL188" s="125"/>
    </row>
    <row r="189" spans="25:38" x14ac:dyDescent="0.25">
      <c r="Y189" s="139"/>
      <c r="Z189" s="140"/>
      <c r="AA189" s="125"/>
      <c r="AB189" s="125"/>
      <c r="AC189" s="125"/>
      <c r="AD189" s="125"/>
      <c r="AE189" s="125"/>
      <c r="AF189" s="125"/>
      <c r="AG189" s="125"/>
      <c r="AH189" s="125"/>
      <c r="AI189" s="125"/>
      <c r="AJ189" s="125"/>
      <c r="AK189" s="125"/>
      <c r="AL189" s="125"/>
    </row>
    <row r="190" spans="25:38" x14ac:dyDescent="0.25">
      <c r="Y190" s="139"/>
      <c r="Z190" s="140"/>
      <c r="AA190" s="125"/>
      <c r="AB190" s="125"/>
      <c r="AC190" s="125"/>
      <c r="AD190" s="125"/>
      <c r="AE190" s="125"/>
      <c r="AF190" s="125"/>
      <c r="AG190" s="125"/>
      <c r="AH190" s="125"/>
      <c r="AI190" s="125"/>
      <c r="AJ190" s="125"/>
      <c r="AK190" s="125"/>
      <c r="AL190" s="125"/>
    </row>
    <row r="191" spans="25:38" x14ac:dyDescent="0.25">
      <c r="Y191" s="139"/>
      <c r="Z191" s="140"/>
      <c r="AA191" s="125"/>
      <c r="AB191" s="125"/>
      <c r="AC191" s="125"/>
      <c r="AD191" s="125"/>
      <c r="AE191" s="125"/>
      <c r="AF191" s="125"/>
      <c r="AG191" s="125"/>
      <c r="AH191" s="125"/>
      <c r="AI191" s="125"/>
      <c r="AJ191" s="125"/>
      <c r="AK191" s="125"/>
      <c r="AL191" s="125"/>
    </row>
    <row r="192" spans="25:38" x14ac:dyDescent="0.25">
      <c r="Y192" s="139"/>
      <c r="Z192" s="140"/>
      <c r="AA192" s="125"/>
      <c r="AB192" s="125"/>
      <c r="AC192" s="125"/>
      <c r="AD192" s="125"/>
      <c r="AE192" s="125"/>
      <c r="AF192" s="125"/>
      <c r="AG192" s="125"/>
      <c r="AH192" s="125"/>
      <c r="AI192" s="125"/>
      <c r="AJ192" s="125"/>
      <c r="AK192" s="125"/>
      <c r="AL192" s="125"/>
    </row>
    <row r="193" spans="25:38" x14ac:dyDescent="0.25">
      <c r="Y193" s="139"/>
      <c r="Z193" s="140"/>
      <c r="AA193" s="125"/>
      <c r="AB193" s="125"/>
      <c r="AC193" s="125"/>
      <c r="AD193" s="125"/>
      <c r="AE193" s="125"/>
      <c r="AF193" s="125"/>
      <c r="AG193" s="125"/>
      <c r="AH193" s="125"/>
      <c r="AI193" s="125"/>
      <c r="AJ193" s="125"/>
      <c r="AK193" s="125"/>
      <c r="AL193" s="125"/>
    </row>
    <row r="194" spans="25:38" x14ac:dyDescent="0.25">
      <c r="Y194" s="139"/>
      <c r="Z194" s="140"/>
      <c r="AA194" s="125"/>
      <c r="AB194" s="125"/>
      <c r="AC194" s="125"/>
      <c r="AD194" s="125"/>
      <c r="AE194" s="125"/>
      <c r="AF194" s="125"/>
      <c r="AG194" s="125"/>
      <c r="AH194" s="125"/>
      <c r="AI194" s="125"/>
      <c r="AJ194" s="125"/>
      <c r="AK194" s="125"/>
      <c r="AL194" s="125"/>
    </row>
    <row r="195" spans="25:38" x14ac:dyDescent="0.25">
      <c r="Y195" s="139"/>
      <c r="Z195" s="140"/>
      <c r="AA195" s="125"/>
      <c r="AB195" s="125"/>
      <c r="AC195" s="125"/>
      <c r="AD195" s="125"/>
      <c r="AE195" s="125"/>
      <c r="AF195" s="125"/>
      <c r="AG195" s="125"/>
      <c r="AH195" s="125"/>
      <c r="AI195" s="125"/>
      <c r="AJ195" s="125"/>
      <c r="AK195" s="125"/>
      <c r="AL195" s="125"/>
    </row>
    <row r="196" spans="25:38" x14ac:dyDescent="0.25">
      <c r="Y196" s="139"/>
      <c r="Z196" s="140"/>
      <c r="AA196" s="125"/>
      <c r="AB196" s="125"/>
      <c r="AC196" s="125"/>
      <c r="AD196" s="125"/>
      <c r="AE196" s="125"/>
      <c r="AF196" s="125"/>
      <c r="AG196" s="125"/>
      <c r="AH196" s="125"/>
      <c r="AI196" s="125"/>
      <c r="AJ196" s="125"/>
      <c r="AK196" s="125"/>
      <c r="AL196" s="125"/>
    </row>
    <row r="197" spans="25:38" x14ac:dyDescent="0.25">
      <c r="Y197" s="139"/>
      <c r="Z197" s="140"/>
      <c r="AA197" s="125"/>
      <c r="AB197" s="125"/>
      <c r="AC197" s="125"/>
      <c r="AD197" s="125"/>
      <c r="AE197" s="125"/>
      <c r="AF197" s="125"/>
      <c r="AG197" s="125"/>
      <c r="AH197" s="125"/>
      <c r="AI197" s="125"/>
      <c r="AJ197" s="125"/>
      <c r="AK197" s="125"/>
      <c r="AL197" s="125"/>
    </row>
    <row r="198" spans="25:38" x14ac:dyDescent="0.25">
      <c r="Y198" s="139"/>
      <c r="Z198" s="140"/>
      <c r="AA198" s="125"/>
      <c r="AB198" s="125"/>
      <c r="AC198" s="125"/>
      <c r="AD198" s="125"/>
      <c r="AE198" s="125"/>
      <c r="AF198" s="125"/>
      <c r="AG198" s="125"/>
      <c r="AH198" s="125"/>
      <c r="AI198" s="125"/>
      <c r="AJ198" s="125"/>
      <c r="AK198" s="125"/>
      <c r="AL198" s="125"/>
    </row>
    <row r="199" spans="25:38" x14ac:dyDescent="0.25">
      <c r="Y199" s="139"/>
      <c r="Z199" s="140"/>
      <c r="AA199" s="125"/>
      <c r="AB199" s="125"/>
      <c r="AC199" s="125"/>
      <c r="AD199" s="125"/>
      <c r="AE199" s="125"/>
      <c r="AF199" s="125"/>
      <c r="AG199" s="125"/>
      <c r="AH199" s="125"/>
      <c r="AI199" s="125"/>
      <c r="AJ199" s="125"/>
      <c r="AK199" s="125"/>
      <c r="AL199" s="125"/>
    </row>
    <row r="200" spans="25:38" x14ac:dyDescent="0.25">
      <c r="Y200" s="139"/>
      <c r="Z200" s="140"/>
      <c r="AA200" s="125"/>
      <c r="AB200" s="125"/>
      <c r="AC200" s="125"/>
      <c r="AD200" s="125"/>
      <c r="AE200" s="125"/>
      <c r="AF200" s="125"/>
      <c r="AG200" s="125"/>
      <c r="AH200" s="125"/>
      <c r="AI200" s="125"/>
      <c r="AJ200" s="125"/>
      <c r="AK200" s="125"/>
      <c r="AL200" s="125"/>
    </row>
    <row r="201" spans="25:38" x14ac:dyDescent="0.25">
      <c r="Y201" s="139"/>
      <c r="Z201" s="140"/>
      <c r="AA201" s="125"/>
      <c r="AB201" s="125"/>
      <c r="AC201" s="125"/>
      <c r="AD201" s="125"/>
      <c r="AE201" s="125"/>
      <c r="AF201" s="125"/>
      <c r="AG201" s="125"/>
      <c r="AH201" s="125"/>
      <c r="AI201" s="125"/>
      <c r="AJ201" s="125"/>
      <c r="AK201" s="125"/>
      <c r="AL201" s="125"/>
    </row>
    <row r="202" spans="25:38" x14ac:dyDescent="0.25">
      <c r="Y202" s="139"/>
      <c r="Z202" s="140"/>
      <c r="AA202" s="125"/>
      <c r="AB202" s="125"/>
      <c r="AC202" s="125"/>
      <c r="AD202" s="125"/>
      <c r="AE202" s="125"/>
      <c r="AF202" s="125"/>
      <c r="AG202" s="125"/>
      <c r="AH202" s="125"/>
      <c r="AI202" s="125"/>
      <c r="AJ202" s="125"/>
      <c r="AK202" s="125"/>
      <c r="AL202" s="125"/>
    </row>
    <row r="203" spans="25:38" x14ac:dyDescent="0.25">
      <c r="Y203" s="139"/>
      <c r="Z203" s="140"/>
      <c r="AA203" s="125"/>
      <c r="AB203" s="125"/>
      <c r="AC203" s="125"/>
      <c r="AD203" s="125"/>
      <c r="AE203" s="125"/>
      <c r="AF203" s="125"/>
      <c r="AG203" s="125"/>
      <c r="AH203" s="125"/>
      <c r="AI203" s="125"/>
      <c r="AJ203" s="125"/>
      <c r="AK203" s="125"/>
      <c r="AL203" s="125"/>
    </row>
    <row r="204" spans="25:38" x14ac:dyDescent="0.25">
      <c r="Y204" s="139"/>
      <c r="Z204" s="140"/>
      <c r="AA204" s="125"/>
      <c r="AB204" s="125"/>
      <c r="AC204" s="125"/>
      <c r="AD204" s="125"/>
      <c r="AE204" s="125"/>
      <c r="AF204" s="125"/>
      <c r="AG204" s="125"/>
      <c r="AH204" s="125"/>
      <c r="AI204" s="125"/>
      <c r="AJ204" s="125"/>
      <c r="AK204" s="125"/>
      <c r="AL204" s="125"/>
    </row>
    <row r="205" spans="25:38" x14ac:dyDescent="0.25">
      <c r="Y205" s="139"/>
      <c r="Z205" s="140"/>
      <c r="AA205" s="125"/>
      <c r="AB205" s="125"/>
      <c r="AC205" s="125"/>
      <c r="AD205" s="125"/>
      <c r="AE205" s="125"/>
      <c r="AF205" s="125"/>
      <c r="AG205" s="125"/>
      <c r="AH205" s="125"/>
      <c r="AI205" s="125"/>
      <c r="AJ205" s="125"/>
      <c r="AK205" s="125"/>
      <c r="AL205" s="125"/>
    </row>
    <row r="206" spans="25:38" x14ac:dyDescent="0.25">
      <c r="Y206" s="139"/>
      <c r="Z206" s="140"/>
      <c r="AA206" s="125"/>
      <c r="AB206" s="125"/>
      <c r="AC206" s="125"/>
      <c r="AD206" s="125"/>
      <c r="AE206" s="125"/>
      <c r="AF206" s="125"/>
      <c r="AG206" s="125"/>
      <c r="AH206" s="125"/>
      <c r="AI206" s="125"/>
      <c r="AJ206" s="125"/>
      <c r="AK206" s="125"/>
      <c r="AL206" s="125"/>
    </row>
    <row r="207" spans="25:38" x14ac:dyDescent="0.25">
      <c r="Y207" s="139"/>
      <c r="Z207" s="140"/>
      <c r="AA207" s="125"/>
      <c r="AB207" s="125"/>
      <c r="AC207" s="125"/>
      <c r="AD207" s="125"/>
      <c r="AE207" s="125"/>
      <c r="AF207" s="125"/>
      <c r="AG207" s="125"/>
      <c r="AH207" s="125"/>
      <c r="AI207" s="125"/>
      <c r="AJ207" s="125"/>
      <c r="AK207" s="125"/>
      <c r="AL207" s="125"/>
    </row>
    <row r="208" spans="25:38" x14ac:dyDescent="0.25">
      <c r="Y208" s="139"/>
      <c r="Z208" s="140"/>
      <c r="AA208" s="125"/>
      <c r="AB208" s="125"/>
      <c r="AC208" s="125"/>
      <c r="AD208" s="125"/>
      <c r="AE208" s="125"/>
      <c r="AF208" s="125"/>
      <c r="AG208" s="125"/>
      <c r="AH208" s="125"/>
      <c r="AI208" s="125"/>
      <c r="AJ208" s="125"/>
      <c r="AK208" s="125"/>
      <c r="AL208" s="125"/>
    </row>
    <row r="209" spans="25:38" x14ac:dyDescent="0.25">
      <c r="Y209" s="139"/>
      <c r="Z209" s="140"/>
      <c r="AA209" s="125"/>
      <c r="AB209" s="125"/>
      <c r="AC209" s="125"/>
      <c r="AD209" s="125"/>
      <c r="AE209" s="125"/>
      <c r="AF209" s="125"/>
      <c r="AG209" s="125"/>
      <c r="AH209" s="125"/>
      <c r="AI209" s="125"/>
      <c r="AJ209" s="125"/>
      <c r="AK209" s="125"/>
      <c r="AL209" s="125"/>
    </row>
    <row r="210" spans="25:38" x14ac:dyDescent="0.25">
      <c r="Y210" s="139"/>
      <c r="Z210" s="140"/>
      <c r="AA210" s="125"/>
      <c r="AB210" s="125"/>
      <c r="AC210" s="125"/>
      <c r="AD210" s="125"/>
      <c r="AE210" s="125"/>
      <c r="AF210" s="125"/>
      <c r="AG210" s="125"/>
      <c r="AH210" s="125"/>
      <c r="AI210" s="125"/>
      <c r="AJ210" s="125"/>
      <c r="AK210" s="125"/>
      <c r="AL210" s="125"/>
    </row>
    <row r="211" spans="25:38" x14ac:dyDescent="0.25">
      <c r="Y211" s="139"/>
      <c r="Z211" s="140"/>
      <c r="AA211" s="125"/>
      <c r="AB211" s="125"/>
      <c r="AC211" s="125"/>
      <c r="AD211" s="125"/>
      <c r="AE211" s="125"/>
      <c r="AF211" s="125"/>
      <c r="AG211" s="125"/>
      <c r="AH211" s="125"/>
      <c r="AI211" s="125"/>
      <c r="AJ211" s="125"/>
      <c r="AK211" s="125"/>
      <c r="AL211" s="125"/>
    </row>
    <row r="212" spans="25:38" x14ac:dyDescent="0.25">
      <c r="Y212" s="139"/>
      <c r="Z212" s="140"/>
      <c r="AA212" s="125"/>
      <c r="AB212" s="125"/>
      <c r="AC212" s="125"/>
      <c r="AD212" s="125"/>
      <c r="AE212" s="125"/>
      <c r="AF212" s="125"/>
      <c r="AG212" s="125"/>
      <c r="AH212" s="125"/>
      <c r="AI212" s="125"/>
      <c r="AJ212" s="125"/>
      <c r="AK212" s="125"/>
      <c r="AL212" s="125"/>
    </row>
    <row r="213" spans="25:38" x14ac:dyDescent="0.25">
      <c r="Y213" s="141"/>
      <c r="Z213" s="142"/>
      <c r="AA213" s="125"/>
      <c r="AB213" s="125"/>
      <c r="AC213" s="125"/>
      <c r="AD213" s="125"/>
      <c r="AE213" s="125"/>
      <c r="AF213" s="125"/>
      <c r="AG213" s="125"/>
      <c r="AH213" s="125"/>
      <c r="AI213" s="125"/>
      <c r="AJ213" s="125"/>
      <c r="AK213" s="125"/>
      <c r="AL213" s="125"/>
    </row>
    <row r="214" spans="25:38" x14ac:dyDescent="0.25">
      <c r="Y214" s="143"/>
      <c r="Z214" s="144"/>
      <c r="AA214" s="126"/>
      <c r="AB214" s="126"/>
      <c r="AC214" s="126"/>
      <c r="AD214" s="126"/>
      <c r="AE214" s="126"/>
      <c r="AF214" s="126"/>
      <c r="AG214" s="126"/>
      <c r="AH214" s="126"/>
      <c r="AI214" s="126"/>
      <c r="AJ214" s="126"/>
      <c r="AK214" s="126"/>
      <c r="AL214" s="126"/>
    </row>
    <row r="215" spans="25:38" x14ac:dyDescent="0.25">
      <c r="Y215" s="145"/>
      <c r="Z215" s="146"/>
      <c r="AA215" s="126"/>
      <c r="AB215" s="126"/>
      <c r="AC215" s="126"/>
      <c r="AD215" s="126"/>
      <c r="AE215" s="126"/>
      <c r="AF215" s="126"/>
      <c r="AG215" s="126"/>
      <c r="AH215" s="126"/>
      <c r="AI215" s="126"/>
      <c r="AJ215" s="126"/>
      <c r="AK215" s="126"/>
      <c r="AL215" s="126"/>
    </row>
    <row r="216" spans="25:38" x14ac:dyDescent="0.25">
      <c r="Y216" s="145"/>
      <c r="Z216" s="146"/>
      <c r="AA216" s="126"/>
      <c r="AB216" s="126"/>
      <c r="AC216" s="126"/>
      <c r="AD216" s="126"/>
      <c r="AE216" s="126"/>
      <c r="AF216" s="126"/>
      <c r="AG216" s="126"/>
      <c r="AH216" s="126"/>
      <c r="AI216" s="126"/>
      <c r="AJ216" s="126"/>
      <c r="AK216" s="126"/>
      <c r="AL216" s="126"/>
    </row>
    <row r="217" spans="25:38" x14ac:dyDescent="0.25">
      <c r="Y217" s="145"/>
      <c r="Z217" s="146"/>
      <c r="AA217" s="126"/>
      <c r="AB217" s="126"/>
      <c r="AC217" s="126"/>
      <c r="AD217" s="126"/>
      <c r="AE217" s="126"/>
      <c r="AF217" s="126"/>
      <c r="AG217" s="126"/>
      <c r="AH217" s="126"/>
      <c r="AI217" s="126"/>
      <c r="AJ217" s="126"/>
      <c r="AK217" s="126"/>
      <c r="AL217" s="126"/>
    </row>
    <row r="218" spans="25:38" x14ac:dyDescent="0.25">
      <c r="Y218" s="145"/>
      <c r="Z218" s="146"/>
      <c r="AA218" s="126"/>
      <c r="AB218" s="126"/>
      <c r="AC218" s="126"/>
      <c r="AD218" s="126"/>
      <c r="AE218" s="126"/>
      <c r="AF218" s="126"/>
      <c r="AG218" s="126"/>
      <c r="AH218" s="126"/>
      <c r="AI218" s="126"/>
      <c r="AJ218" s="126"/>
      <c r="AK218" s="126"/>
      <c r="AL218" s="126"/>
    </row>
    <row r="219" spans="25:38" x14ac:dyDescent="0.25">
      <c r="Y219" s="145"/>
      <c r="Z219" s="146"/>
      <c r="AA219" s="126"/>
      <c r="AB219" s="126"/>
      <c r="AC219" s="126"/>
      <c r="AD219" s="126"/>
      <c r="AE219" s="126"/>
      <c r="AF219" s="126"/>
      <c r="AG219" s="126"/>
      <c r="AH219" s="126"/>
      <c r="AI219" s="126"/>
      <c r="AJ219" s="126"/>
      <c r="AK219" s="126"/>
      <c r="AL219" s="126"/>
    </row>
    <row r="220" spans="25:38" x14ac:dyDescent="0.25">
      <c r="Y220" s="145"/>
      <c r="Z220" s="146"/>
      <c r="AA220" s="126"/>
      <c r="AB220" s="126"/>
      <c r="AC220" s="126"/>
      <c r="AD220" s="126"/>
      <c r="AE220" s="126"/>
      <c r="AF220" s="126"/>
      <c r="AG220" s="126"/>
      <c r="AH220" s="126"/>
      <c r="AI220" s="126"/>
      <c r="AJ220" s="126"/>
      <c r="AK220" s="126"/>
      <c r="AL220" s="126"/>
    </row>
    <row r="221" spans="25:38" x14ac:dyDescent="0.25">
      <c r="Y221" s="145"/>
      <c r="Z221" s="146"/>
      <c r="AA221" s="126"/>
      <c r="AB221" s="126"/>
      <c r="AC221" s="126"/>
      <c r="AD221" s="126"/>
      <c r="AE221" s="126"/>
      <c r="AF221" s="126"/>
      <c r="AG221" s="126"/>
      <c r="AH221" s="126"/>
      <c r="AI221" s="126"/>
      <c r="AJ221" s="126"/>
      <c r="AK221" s="126"/>
      <c r="AL221" s="126"/>
    </row>
    <row r="222" spans="25:38" x14ac:dyDescent="0.25">
      <c r="Y222" s="145"/>
      <c r="Z222" s="146"/>
      <c r="AA222" s="126"/>
      <c r="AB222" s="126"/>
      <c r="AC222" s="126"/>
      <c r="AD222" s="126"/>
      <c r="AE222" s="126"/>
      <c r="AF222" s="126"/>
      <c r="AG222" s="126"/>
      <c r="AH222" s="126"/>
      <c r="AI222" s="126"/>
      <c r="AJ222" s="126"/>
      <c r="AK222" s="126"/>
      <c r="AL222" s="126"/>
    </row>
    <row r="223" spans="25:38" x14ac:dyDescent="0.25">
      <c r="Y223" s="145"/>
      <c r="Z223" s="146"/>
      <c r="AA223" s="126"/>
      <c r="AB223" s="126"/>
      <c r="AC223" s="126"/>
      <c r="AD223" s="126"/>
      <c r="AE223" s="126"/>
      <c r="AF223" s="126"/>
      <c r="AG223" s="126"/>
      <c r="AH223" s="126"/>
      <c r="AI223" s="126"/>
      <c r="AJ223" s="126"/>
      <c r="AK223" s="126"/>
      <c r="AL223" s="126"/>
    </row>
    <row r="224" spans="25:38" x14ac:dyDescent="0.25">
      <c r="Y224" s="145"/>
      <c r="Z224" s="146"/>
      <c r="AA224" s="126"/>
      <c r="AB224" s="126"/>
      <c r="AC224" s="126"/>
      <c r="AD224" s="126"/>
      <c r="AE224" s="126"/>
      <c r="AF224" s="126"/>
      <c r="AG224" s="126"/>
      <c r="AH224" s="126"/>
      <c r="AI224" s="126"/>
      <c r="AJ224" s="126"/>
      <c r="AK224" s="126"/>
      <c r="AL224" s="126"/>
    </row>
    <row r="225" spans="25:38" x14ac:dyDescent="0.25">
      <c r="Y225" s="145"/>
      <c r="Z225" s="146"/>
      <c r="AA225" s="126"/>
      <c r="AB225" s="126"/>
      <c r="AC225" s="126"/>
      <c r="AD225" s="126"/>
      <c r="AE225" s="126"/>
      <c r="AF225" s="126"/>
      <c r="AG225" s="126"/>
      <c r="AH225" s="126"/>
      <c r="AI225" s="126"/>
      <c r="AJ225" s="126"/>
      <c r="AK225" s="126"/>
      <c r="AL225" s="126"/>
    </row>
    <row r="226" spans="25:38" x14ac:dyDescent="0.25">
      <c r="Y226" s="145"/>
      <c r="Z226" s="146"/>
      <c r="AA226" s="126"/>
      <c r="AB226" s="126"/>
      <c r="AC226" s="126"/>
      <c r="AD226" s="126"/>
      <c r="AE226" s="126"/>
      <c r="AF226" s="126"/>
      <c r="AG226" s="126"/>
      <c r="AH226" s="126"/>
      <c r="AI226" s="126"/>
      <c r="AJ226" s="126"/>
      <c r="AK226" s="126"/>
      <c r="AL226" s="126"/>
    </row>
    <row r="227" spans="25:38" x14ac:dyDescent="0.25">
      <c r="Y227" s="145"/>
      <c r="Z227" s="146"/>
      <c r="AA227" s="126"/>
      <c r="AB227" s="126"/>
      <c r="AC227" s="126"/>
      <c r="AD227" s="126"/>
      <c r="AE227" s="126"/>
      <c r="AF227" s="126"/>
      <c r="AG227" s="126"/>
      <c r="AH227" s="126"/>
      <c r="AI227" s="126"/>
      <c r="AJ227" s="126"/>
      <c r="AK227" s="126"/>
      <c r="AL227" s="126"/>
    </row>
    <row r="228" spans="25:38" x14ac:dyDescent="0.25">
      <c r="Y228" s="145"/>
      <c r="Z228" s="146"/>
      <c r="AA228" s="126"/>
      <c r="AB228" s="126"/>
      <c r="AC228" s="126"/>
      <c r="AD228" s="126"/>
      <c r="AE228" s="126"/>
      <c r="AF228" s="126"/>
      <c r="AG228" s="126"/>
      <c r="AH228" s="126"/>
      <c r="AI228" s="126"/>
      <c r="AJ228" s="126"/>
      <c r="AK228" s="126"/>
      <c r="AL228" s="126"/>
    </row>
    <row r="229" spans="25:38" x14ac:dyDescent="0.25">
      <c r="Y229" s="145"/>
      <c r="Z229" s="146"/>
      <c r="AA229" s="126"/>
      <c r="AB229" s="126"/>
      <c r="AC229" s="126"/>
      <c r="AD229" s="126"/>
      <c r="AE229" s="126"/>
      <c r="AF229" s="126"/>
      <c r="AG229" s="126"/>
      <c r="AH229" s="126"/>
      <c r="AI229" s="126"/>
      <c r="AJ229" s="126"/>
      <c r="AK229" s="126"/>
      <c r="AL229" s="126"/>
    </row>
    <row r="230" spans="25:38" x14ac:dyDescent="0.25">
      <c r="Y230" s="145"/>
      <c r="Z230" s="146"/>
      <c r="AA230" s="126"/>
      <c r="AB230" s="126"/>
      <c r="AC230" s="126"/>
      <c r="AD230" s="126"/>
      <c r="AE230" s="126"/>
      <c r="AF230" s="126"/>
      <c r="AG230" s="126"/>
      <c r="AH230" s="126"/>
      <c r="AI230" s="126"/>
      <c r="AJ230" s="126"/>
      <c r="AK230" s="126"/>
      <c r="AL230" s="126"/>
    </row>
    <row r="231" spans="25:38" x14ac:dyDescent="0.25">
      <c r="Y231" s="145"/>
      <c r="Z231" s="146"/>
      <c r="AA231" s="126"/>
      <c r="AB231" s="126"/>
      <c r="AC231" s="126"/>
      <c r="AD231" s="126"/>
      <c r="AE231" s="126"/>
      <c r="AF231" s="126"/>
      <c r="AG231" s="126"/>
      <c r="AH231" s="126"/>
      <c r="AI231" s="126"/>
      <c r="AJ231" s="126"/>
      <c r="AK231" s="126"/>
      <c r="AL231" s="126"/>
    </row>
    <row r="232" spans="25:38" x14ac:dyDescent="0.25">
      <c r="Y232" s="145"/>
      <c r="Z232" s="146"/>
      <c r="AA232" s="126"/>
      <c r="AB232" s="126"/>
      <c r="AC232" s="126"/>
      <c r="AD232" s="126"/>
      <c r="AE232" s="126"/>
      <c r="AF232" s="126"/>
      <c r="AG232" s="126"/>
      <c r="AH232" s="126"/>
      <c r="AI232" s="126"/>
      <c r="AJ232" s="126"/>
      <c r="AK232" s="126"/>
      <c r="AL232" s="126"/>
    </row>
    <row r="233" spans="25:38" x14ac:dyDescent="0.25">
      <c r="Y233" s="145"/>
      <c r="Z233" s="146"/>
      <c r="AA233" s="126"/>
      <c r="AB233" s="126"/>
      <c r="AC233" s="126"/>
      <c r="AD233" s="126"/>
      <c r="AE233" s="126"/>
      <c r="AF233" s="126"/>
      <c r="AG233" s="126"/>
      <c r="AH233" s="126"/>
      <c r="AI233" s="126"/>
      <c r="AJ233" s="126"/>
      <c r="AK233" s="126"/>
      <c r="AL233" s="126"/>
    </row>
    <row r="234" spans="25:38" x14ac:dyDescent="0.25">
      <c r="Y234" s="145"/>
      <c r="Z234" s="146"/>
      <c r="AA234" s="126"/>
      <c r="AB234" s="126"/>
      <c r="AC234" s="126"/>
      <c r="AD234" s="126"/>
      <c r="AE234" s="126"/>
      <c r="AF234" s="126"/>
      <c r="AG234" s="126"/>
      <c r="AH234" s="126"/>
      <c r="AI234" s="126"/>
      <c r="AJ234" s="126"/>
      <c r="AK234" s="126"/>
      <c r="AL234" s="126"/>
    </row>
    <row r="235" spans="25:38" x14ac:dyDescent="0.25">
      <c r="Y235" s="145"/>
      <c r="Z235" s="146"/>
      <c r="AA235" s="126"/>
      <c r="AB235" s="126"/>
      <c r="AC235" s="126"/>
      <c r="AD235" s="126"/>
      <c r="AE235" s="126"/>
      <c r="AF235" s="126"/>
      <c r="AG235" s="126"/>
      <c r="AH235" s="126"/>
      <c r="AI235" s="126"/>
      <c r="AJ235" s="126"/>
      <c r="AK235" s="126"/>
      <c r="AL235" s="126"/>
    </row>
    <row r="236" spans="25:38" x14ac:dyDescent="0.25">
      <c r="Y236" s="145"/>
      <c r="Z236" s="146"/>
      <c r="AA236" s="126"/>
      <c r="AB236" s="126"/>
      <c r="AC236" s="126"/>
      <c r="AD236" s="126"/>
      <c r="AE236" s="126"/>
      <c r="AF236" s="126"/>
      <c r="AG236" s="126"/>
      <c r="AH236" s="126"/>
      <c r="AI236" s="126"/>
      <c r="AJ236" s="126"/>
      <c r="AK236" s="126"/>
      <c r="AL236" s="126"/>
    </row>
    <row r="237" spans="25:38" x14ac:dyDescent="0.25">
      <c r="Y237" s="145"/>
      <c r="Z237" s="146"/>
      <c r="AA237" s="126"/>
      <c r="AB237" s="126"/>
      <c r="AC237" s="126"/>
      <c r="AD237" s="126"/>
      <c r="AE237" s="126"/>
      <c r="AF237" s="126"/>
      <c r="AG237" s="126"/>
      <c r="AH237" s="126"/>
      <c r="AI237" s="126"/>
      <c r="AJ237" s="126"/>
      <c r="AK237" s="126"/>
      <c r="AL237" s="126"/>
    </row>
    <row r="238" spans="25:38" x14ac:dyDescent="0.25">
      <c r="Y238" s="145"/>
      <c r="Z238" s="146"/>
      <c r="AA238" s="126"/>
      <c r="AB238" s="126"/>
      <c r="AC238" s="126"/>
      <c r="AD238" s="126"/>
      <c r="AE238" s="126"/>
      <c r="AF238" s="126"/>
      <c r="AG238" s="126"/>
      <c r="AH238" s="126"/>
      <c r="AI238" s="126"/>
      <c r="AJ238" s="126"/>
      <c r="AK238" s="126"/>
      <c r="AL238" s="126"/>
    </row>
    <row r="239" spans="25:38" x14ac:dyDescent="0.25">
      <c r="Y239" s="145"/>
      <c r="Z239" s="146"/>
      <c r="AA239" s="126"/>
      <c r="AB239" s="126"/>
      <c r="AC239" s="126"/>
      <c r="AD239" s="126"/>
      <c r="AE239" s="126"/>
      <c r="AF239" s="126"/>
      <c r="AG239" s="126"/>
      <c r="AH239" s="126"/>
      <c r="AI239" s="126"/>
      <c r="AJ239" s="126"/>
      <c r="AK239" s="126"/>
      <c r="AL239" s="126"/>
    </row>
    <row r="240" spans="25:38" x14ac:dyDescent="0.25">
      <c r="Y240" s="145"/>
      <c r="Z240" s="146"/>
      <c r="AA240" s="126"/>
      <c r="AB240" s="126"/>
      <c r="AC240" s="126"/>
      <c r="AD240" s="126"/>
      <c r="AE240" s="126"/>
      <c r="AF240" s="126"/>
      <c r="AG240" s="126"/>
      <c r="AH240" s="126"/>
      <c r="AI240" s="126"/>
      <c r="AJ240" s="126"/>
      <c r="AK240" s="126"/>
      <c r="AL240" s="126"/>
    </row>
    <row r="241" spans="25:38" x14ac:dyDescent="0.25">
      <c r="Y241" s="145"/>
      <c r="Z241" s="146"/>
      <c r="AA241" s="126"/>
      <c r="AB241" s="126"/>
      <c r="AC241" s="126"/>
      <c r="AD241" s="126"/>
      <c r="AE241" s="126"/>
      <c r="AF241" s="126"/>
      <c r="AG241" s="126"/>
      <c r="AH241" s="126"/>
      <c r="AI241" s="126"/>
      <c r="AJ241" s="126"/>
      <c r="AK241" s="126"/>
      <c r="AL241" s="126"/>
    </row>
    <row r="242" spans="25:38" x14ac:dyDescent="0.25">
      <c r="Y242" s="145"/>
      <c r="Z242" s="146"/>
      <c r="AA242" s="126"/>
      <c r="AB242" s="126"/>
      <c r="AC242" s="126"/>
      <c r="AD242" s="126"/>
      <c r="AE242" s="126"/>
      <c r="AF242" s="126"/>
      <c r="AG242" s="126"/>
      <c r="AH242" s="126"/>
      <c r="AI242" s="126"/>
      <c r="AJ242" s="126"/>
      <c r="AK242" s="126"/>
      <c r="AL242" s="126"/>
    </row>
    <row r="243" spans="25:38" x14ac:dyDescent="0.25">
      <c r="Y243" s="147"/>
      <c r="Z243" s="148"/>
      <c r="AA243" s="126"/>
      <c r="AB243" s="126"/>
      <c r="AC243" s="126"/>
      <c r="AD243" s="126"/>
      <c r="AE243" s="126"/>
      <c r="AF243" s="126"/>
      <c r="AG243" s="126"/>
      <c r="AH243" s="126"/>
      <c r="AI243" s="126"/>
      <c r="AJ243" s="126"/>
      <c r="AK243" s="126"/>
      <c r="AL243" s="126"/>
    </row>
    <row r="244" spans="25:38" x14ac:dyDescent="0.25">
      <c r="Y244" s="137"/>
      <c r="Z244" s="138"/>
      <c r="AA244" s="125"/>
      <c r="AB244" s="125"/>
      <c r="AC244" s="125"/>
      <c r="AD244" s="125"/>
      <c r="AE244" s="125"/>
      <c r="AF244" s="125"/>
      <c r="AG244" s="125"/>
      <c r="AH244" s="125"/>
      <c r="AI244" s="125"/>
      <c r="AJ244" s="125"/>
      <c r="AK244" s="125"/>
      <c r="AL244" s="125"/>
    </row>
    <row r="245" spans="25:38" x14ac:dyDescent="0.25">
      <c r="Y245" s="139"/>
      <c r="Z245" s="140"/>
      <c r="AA245" s="125"/>
      <c r="AB245" s="125"/>
      <c r="AC245" s="125"/>
      <c r="AD245" s="125"/>
      <c r="AE245" s="125"/>
      <c r="AF245" s="125"/>
      <c r="AG245" s="125"/>
      <c r="AH245" s="125"/>
      <c r="AI245" s="125"/>
      <c r="AJ245" s="125"/>
      <c r="AK245" s="125"/>
      <c r="AL245" s="125"/>
    </row>
    <row r="246" spans="25:38" x14ac:dyDescent="0.25">
      <c r="Y246" s="139"/>
      <c r="Z246" s="140"/>
      <c r="AA246" s="125"/>
      <c r="AB246" s="125"/>
      <c r="AC246" s="125"/>
      <c r="AD246" s="125"/>
      <c r="AE246" s="125"/>
      <c r="AF246" s="125"/>
      <c r="AG246" s="125"/>
      <c r="AH246" s="125"/>
      <c r="AI246" s="125"/>
      <c r="AJ246" s="125"/>
      <c r="AK246" s="125"/>
      <c r="AL246" s="125"/>
    </row>
    <row r="247" spans="25:38" x14ac:dyDescent="0.25">
      <c r="Y247" s="139"/>
      <c r="Z247" s="140"/>
      <c r="AA247" s="125"/>
      <c r="AB247" s="125"/>
      <c r="AC247" s="125"/>
      <c r="AD247" s="125"/>
      <c r="AE247" s="125"/>
      <c r="AF247" s="125"/>
      <c r="AG247" s="125"/>
      <c r="AH247" s="125"/>
      <c r="AI247" s="125"/>
      <c r="AJ247" s="125"/>
      <c r="AK247" s="125"/>
      <c r="AL247" s="125"/>
    </row>
    <row r="248" spans="25:38" x14ac:dyDescent="0.25">
      <c r="Y248" s="139"/>
      <c r="Z248" s="140"/>
      <c r="AA248" s="125"/>
      <c r="AB248" s="125"/>
      <c r="AC248" s="125"/>
      <c r="AD248" s="125"/>
      <c r="AE248" s="125"/>
      <c r="AF248" s="125"/>
      <c r="AG248" s="125"/>
      <c r="AH248" s="125"/>
      <c r="AI248" s="125"/>
      <c r="AJ248" s="125"/>
      <c r="AK248" s="125"/>
      <c r="AL248" s="125"/>
    </row>
    <row r="249" spans="25:38" x14ac:dyDescent="0.25">
      <c r="Y249" s="139"/>
      <c r="Z249" s="140"/>
      <c r="AA249" s="125"/>
      <c r="AB249" s="125"/>
      <c r="AC249" s="125"/>
      <c r="AD249" s="125"/>
      <c r="AE249" s="125"/>
      <c r="AF249" s="125"/>
      <c r="AG249" s="125"/>
      <c r="AH249" s="125"/>
      <c r="AI249" s="125"/>
      <c r="AJ249" s="125"/>
      <c r="AK249" s="125"/>
      <c r="AL249" s="125"/>
    </row>
    <row r="250" spans="25:38" x14ac:dyDescent="0.25">
      <c r="Y250" s="139"/>
      <c r="Z250" s="140"/>
      <c r="AA250" s="125"/>
      <c r="AB250" s="125"/>
      <c r="AC250" s="125"/>
      <c r="AD250" s="125"/>
      <c r="AE250" s="125"/>
      <c r="AF250" s="125"/>
      <c r="AG250" s="125"/>
      <c r="AH250" s="125"/>
      <c r="AI250" s="125"/>
      <c r="AJ250" s="125"/>
      <c r="AK250" s="125"/>
      <c r="AL250" s="125"/>
    </row>
    <row r="251" spans="25:38" x14ac:dyDescent="0.25">
      <c r="Y251" s="139"/>
      <c r="Z251" s="140"/>
      <c r="AA251" s="125"/>
      <c r="AB251" s="125"/>
      <c r="AC251" s="125"/>
      <c r="AD251" s="125"/>
      <c r="AE251" s="125"/>
      <c r="AF251" s="125"/>
      <c r="AG251" s="125"/>
      <c r="AH251" s="125"/>
      <c r="AI251" s="125"/>
      <c r="AJ251" s="125"/>
      <c r="AK251" s="125"/>
      <c r="AL251" s="125"/>
    </row>
    <row r="252" spans="25:38" x14ac:dyDescent="0.25">
      <c r="Y252" s="139"/>
      <c r="Z252" s="140"/>
      <c r="AA252" s="125"/>
      <c r="AB252" s="125"/>
      <c r="AC252" s="125"/>
      <c r="AD252" s="125"/>
      <c r="AE252" s="125"/>
      <c r="AF252" s="125"/>
      <c r="AG252" s="125"/>
      <c r="AH252" s="125"/>
      <c r="AI252" s="125"/>
      <c r="AJ252" s="125"/>
      <c r="AK252" s="125"/>
      <c r="AL252" s="125"/>
    </row>
    <row r="253" spans="25:38" x14ac:dyDescent="0.25">
      <c r="Y253" s="139"/>
      <c r="Z253" s="140"/>
      <c r="AA253" s="125"/>
      <c r="AB253" s="125"/>
      <c r="AC253" s="125"/>
      <c r="AD253" s="125"/>
      <c r="AE253" s="125"/>
      <c r="AF253" s="125"/>
      <c r="AG253" s="125"/>
      <c r="AH253" s="125"/>
      <c r="AI253" s="125"/>
      <c r="AJ253" s="125"/>
      <c r="AK253" s="125"/>
      <c r="AL253" s="125"/>
    </row>
    <row r="254" spans="25:38" x14ac:dyDescent="0.25">
      <c r="Y254" s="139"/>
      <c r="Z254" s="140"/>
      <c r="AA254" s="125"/>
      <c r="AB254" s="125"/>
      <c r="AC254" s="125"/>
      <c r="AD254" s="125"/>
      <c r="AE254" s="125"/>
      <c r="AF254" s="125"/>
      <c r="AG254" s="125"/>
      <c r="AH254" s="125"/>
      <c r="AI254" s="125"/>
      <c r="AJ254" s="125"/>
      <c r="AK254" s="125"/>
      <c r="AL254" s="125"/>
    </row>
    <row r="255" spans="25:38" x14ac:dyDescent="0.25">
      <c r="Y255" s="139"/>
      <c r="Z255" s="140"/>
      <c r="AA255" s="125"/>
      <c r="AB255" s="125"/>
      <c r="AC255" s="125"/>
      <c r="AD255" s="125"/>
      <c r="AE255" s="125"/>
      <c r="AF255" s="125"/>
      <c r="AG255" s="125"/>
      <c r="AH255" s="125"/>
      <c r="AI255" s="125"/>
      <c r="AJ255" s="125"/>
      <c r="AK255" s="125"/>
      <c r="AL255" s="125"/>
    </row>
    <row r="256" spans="25:38" x14ac:dyDescent="0.25">
      <c r="Y256" s="139"/>
      <c r="Z256" s="140"/>
      <c r="AA256" s="125"/>
      <c r="AB256" s="125"/>
      <c r="AC256" s="125"/>
      <c r="AD256" s="125"/>
      <c r="AE256" s="125"/>
      <c r="AF256" s="125"/>
      <c r="AG256" s="125"/>
      <c r="AH256" s="125"/>
      <c r="AI256" s="125"/>
      <c r="AJ256" s="125"/>
      <c r="AK256" s="125"/>
      <c r="AL256" s="125"/>
    </row>
    <row r="257" spans="25:38" x14ac:dyDescent="0.25">
      <c r="Y257" s="139"/>
      <c r="Z257" s="140"/>
      <c r="AA257" s="125"/>
      <c r="AB257" s="125"/>
      <c r="AC257" s="125"/>
      <c r="AD257" s="125"/>
      <c r="AE257" s="125"/>
      <c r="AF257" s="125"/>
      <c r="AG257" s="125"/>
      <c r="AH257" s="125"/>
      <c r="AI257" s="125"/>
      <c r="AJ257" s="125"/>
      <c r="AK257" s="125"/>
      <c r="AL257" s="125"/>
    </row>
    <row r="258" spans="25:38" x14ac:dyDescent="0.25">
      <c r="Y258" s="139"/>
      <c r="Z258" s="140"/>
      <c r="AA258" s="125"/>
      <c r="AB258" s="125"/>
      <c r="AC258" s="125"/>
      <c r="AD258" s="125"/>
      <c r="AE258" s="125"/>
      <c r="AF258" s="125"/>
      <c r="AG258" s="125"/>
      <c r="AH258" s="125"/>
      <c r="AI258" s="125"/>
      <c r="AJ258" s="125"/>
      <c r="AK258" s="125"/>
      <c r="AL258" s="125"/>
    </row>
    <row r="259" spans="25:38" x14ac:dyDescent="0.25">
      <c r="Y259" s="139"/>
      <c r="Z259" s="140"/>
      <c r="AA259" s="125"/>
      <c r="AB259" s="125"/>
      <c r="AC259" s="125"/>
      <c r="AD259" s="125"/>
      <c r="AE259" s="125"/>
      <c r="AF259" s="125"/>
      <c r="AG259" s="125"/>
      <c r="AH259" s="125"/>
      <c r="AI259" s="125"/>
      <c r="AJ259" s="125"/>
      <c r="AK259" s="125"/>
      <c r="AL259" s="125"/>
    </row>
    <row r="260" spans="25:38" x14ac:dyDescent="0.25">
      <c r="Y260" s="139"/>
      <c r="Z260" s="140"/>
      <c r="AA260" s="125"/>
      <c r="AB260" s="125"/>
      <c r="AC260" s="125"/>
      <c r="AD260" s="125"/>
      <c r="AE260" s="125"/>
      <c r="AF260" s="125"/>
      <c r="AG260" s="125"/>
      <c r="AH260" s="125"/>
      <c r="AI260" s="125"/>
      <c r="AJ260" s="125"/>
      <c r="AK260" s="125"/>
      <c r="AL260" s="125"/>
    </row>
    <row r="261" spans="25:38" x14ac:dyDescent="0.25">
      <c r="Y261" s="139"/>
      <c r="Z261" s="140"/>
      <c r="AA261" s="125"/>
      <c r="AB261" s="125"/>
      <c r="AC261" s="125"/>
      <c r="AD261" s="125"/>
      <c r="AE261" s="125"/>
      <c r="AF261" s="125"/>
      <c r="AG261" s="125"/>
      <c r="AH261" s="125"/>
      <c r="AI261" s="125"/>
      <c r="AJ261" s="125"/>
      <c r="AK261" s="125"/>
      <c r="AL261" s="125"/>
    </row>
    <row r="262" spans="25:38" x14ac:dyDescent="0.25">
      <c r="Y262" s="139"/>
      <c r="Z262" s="140"/>
      <c r="AA262" s="125"/>
      <c r="AB262" s="125"/>
      <c r="AC262" s="125"/>
      <c r="AD262" s="125"/>
      <c r="AE262" s="125"/>
      <c r="AF262" s="125"/>
      <c r="AG262" s="125"/>
      <c r="AH262" s="125"/>
      <c r="AI262" s="125"/>
      <c r="AJ262" s="125"/>
      <c r="AK262" s="125"/>
      <c r="AL262" s="125"/>
    </row>
    <row r="263" spans="25:38" x14ac:dyDescent="0.25">
      <c r="Y263" s="139"/>
      <c r="Z263" s="140"/>
      <c r="AA263" s="125"/>
      <c r="AB263" s="125"/>
      <c r="AC263" s="125"/>
      <c r="AD263" s="125"/>
      <c r="AE263" s="125"/>
      <c r="AF263" s="125"/>
      <c r="AG263" s="125"/>
      <c r="AH263" s="125"/>
      <c r="AI263" s="125"/>
      <c r="AJ263" s="125"/>
      <c r="AK263" s="125"/>
      <c r="AL263" s="125"/>
    </row>
    <row r="264" spans="25:38" x14ac:dyDescent="0.25">
      <c r="Y264" s="139"/>
      <c r="Z264" s="140"/>
      <c r="AA264" s="125"/>
      <c r="AB264" s="125"/>
      <c r="AC264" s="125"/>
      <c r="AD264" s="125"/>
      <c r="AE264" s="125"/>
      <c r="AF264" s="125"/>
      <c r="AG264" s="125"/>
      <c r="AH264" s="125"/>
      <c r="AI264" s="125"/>
      <c r="AJ264" s="125"/>
      <c r="AK264" s="125"/>
      <c r="AL264" s="125"/>
    </row>
    <row r="265" spans="25:38" x14ac:dyDescent="0.25">
      <c r="Y265" s="139"/>
      <c r="Z265" s="140"/>
      <c r="AA265" s="125"/>
      <c r="AB265" s="125"/>
      <c r="AC265" s="125"/>
      <c r="AD265" s="125"/>
      <c r="AE265" s="125"/>
      <c r="AF265" s="125"/>
      <c r="AG265" s="125"/>
      <c r="AH265" s="125"/>
      <c r="AI265" s="125"/>
      <c r="AJ265" s="125"/>
      <c r="AK265" s="125"/>
      <c r="AL265" s="125"/>
    </row>
    <row r="266" spans="25:38" x14ac:dyDescent="0.25">
      <c r="Y266" s="139"/>
      <c r="Z266" s="140"/>
      <c r="AA266" s="125"/>
      <c r="AB266" s="125"/>
      <c r="AC266" s="125"/>
      <c r="AD266" s="125"/>
      <c r="AE266" s="125"/>
      <c r="AF266" s="125"/>
      <c r="AG266" s="125"/>
      <c r="AH266" s="125"/>
      <c r="AI266" s="125"/>
      <c r="AJ266" s="125"/>
      <c r="AK266" s="125"/>
      <c r="AL266" s="125"/>
    </row>
    <row r="267" spans="25:38" x14ac:dyDescent="0.25">
      <c r="Y267" s="139"/>
      <c r="Z267" s="140"/>
      <c r="AA267" s="125"/>
      <c r="AB267" s="125"/>
      <c r="AC267" s="125"/>
      <c r="AD267" s="125"/>
      <c r="AE267" s="125"/>
      <c r="AF267" s="125"/>
      <c r="AG267" s="125"/>
      <c r="AH267" s="125"/>
      <c r="AI267" s="125"/>
      <c r="AJ267" s="125"/>
      <c r="AK267" s="125"/>
      <c r="AL267" s="125"/>
    </row>
    <row r="268" spans="25:38" x14ac:dyDescent="0.25">
      <c r="Y268" s="139"/>
      <c r="Z268" s="140"/>
      <c r="AA268" s="125"/>
      <c r="AB268" s="125"/>
      <c r="AC268" s="125"/>
      <c r="AD268" s="125"/>
      <c r="AE268" s="125"/>
      <c r="AF268" s="125"/>
      <c r="AG268" s="125"/>
      <c r="AH268" s="125"/>
      <c r="AI268" s="125"/>
      <c r="AJ268" s="125"/>
      <c r="AK268" s="125"/>
      <c r="AL268" s="125"/>
    </row>
    <row r="269" spans="25:38" x14ac:dyDescent="0.25">
      <c r="Y269" s="139"/>
      <c r="Z269" s="140"/>
      <c r="AA269" s="125"/>
      <c r="AB269" s="125"/>
      <c r="AC269" s="125"/>
      <c r="AD269" s="125"/>
      <c r="AE269" s="125"/>
      <c r="AF269" s="125"/>
      <c r="AG269" s="125"/>
      <c r="AH269" s="125"/>
      <c r="AI269" s="125"/>
      <c r="AJ269" s="125"/>
      <c r="AK269" s="125"/>
      <c r="AL269" s="125"/>
    </row>
    <row r="270" spans="25:38" x14ac:dyDescent="0.25">
      <c r="Y270" s="139"/>
      <c r="Z270" s="140"/>
      <c r="AA270" s="125"/>
      <c r="AB270" s="125"/>
      <c r="AC270" s="125"/>
      <c r="AD270" s="125"/>
      <c r="AE270" s="125"/>
      <c r="AF270" s="125"/>
      <c r="AG270" s="125"/>
      <c r="AH270" s="125"/>
      <c r="AI270" s="125"/>
      <c r="AJ270" s="125"/>
      <c r="AK270" s="125"/>
      <c r="AL270" s="125"/>
    </row>
    <row r="271" spans="25:38" x14ac:dyDescent="0.25">
      <c r="Y271" s="139"/>
      <c r="Z271" s="140"/>
      <c r="AA271" s="125"/>
      <c r="AB271" s="125"/>
      <c r="AC271" s="125"/>
      <c r="AD271" s="125"/>
      <c r="AE271" s="125"/>
      <c r="AF271" s="125"/>
      <c r="AG271" s="125"/>
      <c r="AH271" s="125"/>
      <c r="AI271" s="125"/>
      <c r="AJ271" s="125"/>
      <c r="AK271" s="125"/>
      <c r="AL271" s="125"/>
    </row>
    <row r="272" spans="25:38" x14ac:dyDescent="0.25">
      <c r="Y272" s="139"/>
      <c r="Z272" s="140"/>
      <c r="AA272" s="125"/>
      <c r="AB272" s="125"/>
      <c r="AC272" s="125"/>
      <c r="AD272" s="125"/>
      <c r="AE272" s="125"/>
      <c r="AF272" s="125"/>
      <c r="AG272" s="125"/>
      <c r="AH272" s="125"/>
      <c r="AI272" s="125"/>
      <c r="AJ272" s="125"/>
      <c r="AK272" s="125"/>
      <c r="AL272" s="125"/>
    </row>
    <row r="273" spans="25:38" x14ac:dyDescent="0.25">
      <c r="Y273" s="141"/>
      <c r="Z273" s="142"/>
      <c r="AA273" s="125"/>
      <c r="AB273" s="125"/>
      <c r="AC273" s="125"/>
      <c r="AD273" s="125"/>
      <c r="AE273" s="125"/>
      <c r="AF273" s="125"/>
      <c r="AG273" s="125"/>
      <c r="AH273" s="125"/>
      <c r="AI273" s="125"/>
      <c r="AJ273" s="125"/>
      <c r="AK273" s="125"/>
      <c r="AL273" s="125"/>
    </row>
    <row r="274" spans="25:38" x14ac:dyDescent="0.25">
      <c r="Y274" s="143"/>
      <c r="Z274" s="144"/>
      <c r="AA274" s="126"/>
      <c r="AB274" s="126"/>
      <c r="AC274" s="126"/>
      <c r="AD274" s="126"/>
      <c r="AE274" s="126"/>
      <c r="AF274" s="126"/>
      <c r="AG274" s="126"/>
      <c r="AH274" s="126"/>
      <c r="AI274" s="126"/>
      <c r="AJ274" s="126"/>
      <c r="AK274" s="126"/>
      <c r="AL274" s="126"/>
    </row>
    <row r="275" spans="25:38" x14ac:dyDescent="0.25">
      <c r="Y275" s="145"/>
      <c r="Z275" s="146"/>
      <c r="AA275" s="126"/>
      <c r="AB275" s="126"/>
      <c r="AC275" s="126"/>
      <c r="AD275" s="126"/>
      <c r="AE275" s="126"/>
      <c r="AF275" s="126"/>
      <c r="AG275" s="126"/>
      <c r="AH275" s="126"/>
      <c r="AI275" s="126"/>
      <c r="AJ275" s="126"/>
      <c r="AK275" s="126"/>
      <c r="AL275" s="126"/>
    </row>
    <row r="276" spans="25:38" x14ac:dyDescent="0.25">
      <c r="Y276" s="145"/>
      <c r="Z276" s="146"/>
      <c r="AA276" s="126"/>
      <c r="AB276" s="126"/>
      <c r="AC276" s="126"/>
      <c r="AD276" s="126"/>
      <c r="AE276" s="126"/>
      <c r="AF276" s="126"/>
      <c r="AG276" s="126"/>
      <c r="AH276" s="126"/>
      <c r="AI276" s="126"/>
      <c r="AJ276" s="126"/>
      <c r="AK276" s="126"/>
      <c r="AL276" s="126"/>
    </row>
    <row r="277" spans="25:38" x14ac:dyDescent="0.25">
      <c r="Y277" s="145"/>
      <c r="Z277" s="146"/>
      <c r="AA277" s="126"/>
      <c r="AB277" s="126"/>
      <c r="AC277" s="126"/>
      <c r="AD277" s="126"/>
      <c r="AE277" s="126"/>
      <c r="AF277" s="126"/>
      <c r="AG277" s="126"/>
      <c r="AH277" s="126"/>
      <c r="AI277" s="126"/>
      <c r="AJ277" s="126"/>
      <c r="AK277" s="126"/>
      <c r="AL277" s="126"/>
    </row>
    <row r="278" spans="25:38" x14ac:dyDescent="0.25">
      <c r="Y278" s="145"/>
      <c r="Z278" s="146"/>
      <c r="AA278" s="126"/>
      <c r="AB278" s="126"/>
      <c r="AC278" s="126"/>
      <c r="AD278" s="126"/>
      <c r="AE278" s="126"/>
      <c r="AF278" s="126"/>
      <c r="AG278" s="126"/>
      <c r="AH278" s="126"/>
      <c r="AI278" s="126"/>
      <c r="AJ278" s="126"/>
      <c r="AK278" s="126"/>
      <c r="AL278" s="126"/>
    </row>
    <row r="279" spans="25:38" x14ac:dyDescent="0.25">
      <c r="Y279" s="145"/>
      <c r="Z279" s="146"/>
      <c r="AA279" s="126"/>
      <c r="AB279" s="126"/>
      <c r="AC279" s="126"/>
      <c r="AD279" s="126"/>
      <c r="AE279" s="126"/>
      <c r="AF279" s="126"/>
      <c r="AG279" s="126"/>
      <c r="AH279" s="126"/>
      <c r="AI279" s="126"/>
      <c r="AJ279" s="126"/>
      <c r="AK279" s="126"/>
      <c r="AL279" s="126"/>
    </row>
    <row r="280" spans="25:38" x14ac:dyDescent="0.25">
      <c r="Y280" s="145"/>
      <c r="Z280" s="146"/>
      <c r="AA280" s="126"/>
      <c r="AB280" s="126"/>
      <c r="AC280" s="126"/>
      <c r="AD280" s="126"/>
      <c r="AE280" s="126"/>
      <c r="AF280" s="126"/>
      <c r="AG280" s="126"/>
      <c r="AH280" s="126"/>
      <c r="AI280" s="126"/>
      <c r="AJ280" s="126"/>
      <c r="AK280" s="126"/>
      <c r="AL280" s="126"/>
    </row>
    <row r="281" spans="25:38" x14ac:dyDescent="0.25">
      <c r="Y281" s="145"/>
      <c r="Z281" s="146"/>
      <c r="AA281" s="126"/>
      <c r="AB281" s="126"/>
      <c r="AC281" s="126"/>
      <c r="AD281" s="126"/>
      <c r="AE281" s="126"/>
      <c r="AF281" s="126"/>
      <c r="AG281" s="126"/>
      <c r="AH281" s="126"/>
      <c r="AI281" s="126"/>
      <c r="AJ281" s="126"/>
      <c r="AK281" s="126"/>
      <c r="AL281" s="126"/>
    </row>
    <row r="282" spans="25:38" x14ac:dyDescent="0.25">
      <c r="Y282" s="145"/>
      <c r="Z282" s="146"/>
      <c r="AA282" s="126"/>
      <c r="AB282" s="126"/>
      <c r="AC282" s="126"/>
      <c r="AD282" s="126"/>
      <c r="AE282" s="126"/>
      <c r="AF282" s="126"/>
      <c r="AG282" s="126"/>
      <c r="AH282" s="126"/>
      <c r="AI282" s="126"/>
      <c r="AJ282" s="126"/>
      <c r="AK282" s="126"/>
      <c r="AL282" s="126"/>
    </row>
    <row r="283" spans="25:38" x14ac:dyDescent="0.25">
      <c r="Y283" s="145"/>
      <c r="Z283" s="146"/>
      <c r="AA283" s="126"/>
      <c r="AB283" s="126"/>
      <c r="AC283" s="126"/>
      <c r="AD283" s="126"/>
      <c r="AE283" s="126"/>
      <c r="AF283" s="126"/>
      <c r="AG283" s="126"/>
      <c r="AH283" s="126"/>
      <c r="AI283" s="126"/>
      <c r="AJ283" s="126"/>
      <c r="AK283" s="126"/>
      <c r="AL283" s="126"/>
    </row>
    <row r="284" spans="25:38" x14ac:dyDescent="0.25">
      <c r="Y284" s="145"/>
      <c r="Z284" s="146"/>
      <c r="AA284" s="126"/>
      <c r="AB284" s="126"/>
      <c r="AC284" s="126"/>
      <c r="AD284" s="126"/>
      <c r="AE284" s="126"/>
      <c r="AF284" s="126"/>
      <c r="AG284" s="126"/>
      <c r="AH284" s="126"/>
      <c r="AI284" s="126"/>
      <c r="AJ284" s="126"/>
      <c r="AK284" s="126"/>
      <c r="AL284" s="126"/>
    </row>
    <row r="285" spans="25:38" x14ac:dyDescent="0.25">
      <c r="Y285" s="145"/>
      <c r="Z285" s="146"/>
      <c r="AA285" s="126"/>
      <c r="AB285" s="126"/>
      <c r="AC285" s="126"/>
      <c r="AD285" s="126"/>
      <c r="AE285" s="126"/>
      <c r="AF285" s="126"/>
      <c r="AG285" s="126"/>
      <c r="AH285" s="126"/>
      <c r="AI285" s="126"/>
      <c r="AJ285" s="126"/>
      <c r="AK285" s="126"/>
      <c r="AL285" s="126"/>
    </row>
    <row r="286" spans="25:38" x14ac:dyDescent="0.25">
      <c r="Y286" s="145"/>
      <c r="Z286" s="146"/>
      <c r="AA286" s="126"/>
      <c r="AB286" s="126"/>
      <c r="AC286" s="126"/>
      <c r="AD286" s="126"/>
      <c r="AE286" s="126"/>
      <c r="AF286" s="126"/>
      <c r="AG286" s="126"/>
      <c r="AH286" s="126"/>
      <c r="AI286" s="126"/>
      <c r="AJ286" s="126"/>
      <c r="AK286" s="126"/>
      <c r="AL286" s="126"/>
    </row>
    <row r="287" spans="25:38" x14ac:dyDescent="0.25">
      <c r="Y287" s="145"/>
      <c r="Z287" s="146"/>
      <c r="AA287" s="126"/>
      <c r="AB287" s="126"/>
      <c r="AC287" s="126"/>
      <c r="AD287" s="126"/>
      <c r="AE287" s="126"/>
      <c r="AF287" s="126"/>
      <c r="AG287" s="126"/>
      <c r="AH287" s="126"/>
      <c r="AI287" s="126"/>
      <c r="AJ287" s="126"/>
      <c r="AK287" s="126"/>
      <c r="AL287" s="126"/>
    </row>
    <row r="288" spans="25:38" x14ac:dyDescent="0.25">
      <c r="Y288" s="145"/>
      <c r="Z288" s="146"/>
      <c r="AA288" s="126"/>
      <c r="AB288" s="126"/>
      <c r="AC288" s="126"/>
      <c r="AD288" s="126"/>
      <c r="AE288" s="126"/>
      <c r="AF288" s="126"/>
      <c r="AG288" s="126"/>
      <c r="AH288" s="126"/>
      <c r="AI288" s="126"/>
      <c r="AJ288" s="126"/>
      <c r="AK288" s="126"/>
      <c r="AL288" s="126"/>
    </row>
    <row r="289" spans="25:38" x14ac:dyDescent="0.25">
      <c r="Y289" s="145"/>
      <c r="Z289" s="146"/>
      <c r="AA289" s="126"/>
      <c r="AB289" s="126"/>
      <c r="AC289" s="126"/>
      <c r="AD289" s="126"/>
      <c r="AE289" s="126"/>
      <c r="AF289" s="126"/>
      <c r="AG289" s="126"/>
      <c r="AH289" s="126"/>
      <c r="AI289" s="126"/>
      <c r="AJ289" s="126"/>
      <c r="AK289" s="126"/>
      <c r="AL289" s="126"/>
    </row>
    <row r="290" spans="25:38" x14ac:dyDescent="0.25">
      <c r="Y290" s="145"/>
      <c r="Z290" s="146"/>
      <c r="AA290" s="126"/>
      <c r="AB290" s="126"/>
      <c r="AC290" s="126"/>
      <c r="AD290" s="126"/>
      <c r="AE290" s="126"/>
      <c r="AF290" s="126"/>
      <c r="AG290" s="126"/>
      <c r="AH290" s="126"/>
      <c r="AI290" s="126"/>
      <c r="AJ290" s="126"/>
      <c r="AK290" s="126"/>
      <c r="AL290" s="126"/>
    </row>
    <row r="291" spans="25:38" x14ac:dyDescent="0.25">
      <c r="Y291" s="145"/>
      <c r="Z291" s="146"/>
      <c r="AA291" s="126"/>
      <c r="AB291" s="126"/>
      <c r="AC291" s="126"/>
      <c r="AD291" s="126"/>
      <c r="AE291" s="126"/>
      <c r="AF291" s="126"/>
      <c r="AG291" s="126"/>
      <c r="AH291" s="126"/>
      <c r="AI291" s="126"/>
      <c r="AJ291" s="126"/>
      <c r="AK291" s="126"/>
      <c r="AL291" s="126"/>
    </row>
    <row r="292" spans="25:38" x14ac:dyDescent="0.25">
      <c r="Y292" s="145"/>
      <c r="Z292" s="146"/>
      <c r="AA292" s="126"/>
      <c r="AB292" s="126"/>
      <c r="AC292" s="126"/>
      <c r="AD292" s="126"/>
      <c r="AE292" s="126"/>
      <c r="AF292" s="126"/>
      <c r="AG292" s="126"/>
      <c r="AH292" s="126"/>
      <c r="AI292" s="126"/>
      <c r="AJ292" s="126"/>
      <c r="AK292" s="126"/>
      <c r="AL292" s="126"/>
    </row>
    <row r="293" spans="25:38" x14ac:dyDescent="0.25">
      <c r="Y293" s="145"/>
      <c r="Z293" s="146"/>
      <c r="AA293" s="126"/>
      <c r="AB293" s="126"/>
      <c r="AC293" s="126"/>
      <c r="AD293" s="126"/>
      <c r="AE293" s="126"/>
      <c r="AF293" s="126"/>
      <c r="AG293" s="126"/>
      <c r="AH293" s="126"/>
      <c r="AI293" s="126"/>
      <c r="AJ293" s="126"/>
      <c r="AK293" s="126"/>
      <c r="AL293" s="126"/>
    </row>
    <row r="294" spans="25:38" x14ac:dyDescent="0.25">
      <c r="Y294" s="145"/>
      <c r="Z294" s="146"/>
      <c r="AA294" s="126"/>
      <c r="AB294" s="126"/>
      <c r="AC294" s="126"/>
      <c r="AD294" s="126"/>
      <c r="AE294" s="126"/>
      <c r="AF294" s="126"/>
      <c r="AG294" s="126"/>
      <c r="AH294" s="126"/>
      <c r="AI294" s="126"/>
      <c r="AJ294" s="126"/>
      <c r="AK294" s="126"/>
      <c r="AL294" s="126"/>
    </row>
    <row r="295" spans="25:38" x14ac:dyDescent="0.25">
      <c r="Y295" s="145"/>
      <c r="Z295" s="146"/>
      <c r="AA295" s="126"/>
      <c r="AB295" s="126"/>
      <c r="AC295" s="126"/>
      <c r="AD295" s="126"/>
      <c r="AE295" s="126"/>
      <c r="AF295" s="126"/>
      <c r="AG295" s="126"/>
      <c r="AH295" s="126"/>
      <c r="AI295" s="126"/>
      <c r="AJ295" s="126"/>
      <c r="AK295" s="126"/>
      <c r="AL295" s="126"/>
    </row>
    <row r="296" spans="25:38" x14ac:dyDescent="0.25">
      <c r="Y296" s="145"/>
      <c r="Z296" s="146"/>
      <c r="AA296" s="126"/>
      <c r="AB296" s="126"/>
      <c r="AC296" s="126"/>
      <c r="AD296" s="126"/>
      <c r="AE296" s="126"/>
      <c r="AF296" s="126"/>
      <c r="AG296" s="126"/>
      <c r="AH296" s="126"/>
      <c r="AI296" s="126"/>
      <c r="AJ296" s="126"/>
      <c r="AK296" s="126"/>
      <c r="AL296" s="126"/>
    </row>
    <row r="297" spans="25:38" x14ac:dyDescent="0.25">
      <c r="Y297" s="145"/>
      <c r="Z297" s="146"/>
      <c r="AA297" s="126"/>
      <c r="AB297" s="126"/>
      <c r="AC297" s="126"/>
      <c r="AD297" s="126"/>
      <c r="AE297" s="126"/>
      <c r="AF297" s="126"/>
      <c r="AG297" s="126"/>
      <c r="AH297" s="126"/>
      <c r="AI297" s="126"/>
      <c r="AJ297" s="126"/>
      <c r="AK297" s="126"/>
      <c r="AL297" s="126"/>
    </row>
    <row r="298" spans="25:38" x14ac:dyDescent="0.25">
      <c r="Y298" s="145"/>
      <c r="Z298" s="146"/>
      <c r="AA298" s="126"/>
      <c r="AB298" s="126"/>
      <c r="AC298" s="126"/>
      <c r="AD298" s="126"/>
      <c r="AE298" s="126"/>
      <c r="AF298" s="126"/>
      <c r="AG298" s="126"/>
      <c r="AH298" s="126"/>
      <c r="AI298" s="126"/>
      <c r="AJ298" s="126"/>
      <c r="AK298" s="126"/>
      <c r="AL298" s="126"/>
    </row>
    <row r="299" spans="25:38" x14ac:dyDescent="0.25">
      <c r="Y299" s="145"/>
      <c r="Z299" s="146"/>
      <c r="AA299" s="126"/>
      <c r="AB299" s="126"/>
      <c r="AC299" s="126"/>
      <c r="AD299" s="126"/>
      <c r="AE299" s="126"/>
      <c r="AF299" s="126"/>
      <c r="AG299" s="126"/>
      <c r="AH299" s="126"/>
      <c r="AI299" s="126"/>
      <c r="AJ299" s="126"/>
      <c r="AK299" s="126"/>
      <c r="AL299" s="126"/>
    </row>
    <row r="300" spans="25:38" x14ac:dyDescent="0.25">
      <c r="Y300" s="145"/>
      <c r="Z300" s="146"/>
      <c r="AA300" s="126"/>
      <c r="AB300" s="126"/>
      <c r="AC300" s="126"/>
      <c r="AD300" s="126"/>
      <c r="AE300" s="126"/>
      <c r="AF300" s="126"/>
      <c r="AG300" s="126"/>
      <c r="AH300" s="126"/>
      <c r="AI300" s="126"/>
      <c r="AJ300" s="126"/>
      <c r="AK300" s="126"/>
      <c r="AL300" s="126"/>
    </row>
    <row r="301" spans="25:38" x14ac:dyDescent="0.25">
      <c r="Y301" s="145"/>
      <c r="Z301" s="146"/>
      <c r="AA301" s="126"/>
      <c r="AB301" s="126"/>
      <c r="AC301" s="126"/>
      <c r="AD301" s="126"/>
      <c r="AE301" s="126"/>
      <c r="AF301" s="126"/>
      <c r="AG301" s="126"/>
      <c r="AH301" s="126"/>
      <c r="AI301" s="126"/>
      <c r="AJ301" s="126"/>
      <c r="AK301" s="126"/>
      <c r="AL301" s="126"/>
    </row>
    <row r="302" spans="25:38" x14ac:dyDescent="0.25">
      <c r="Y302" s="145"/>
      <c r="Z302" s="146"/>
      <c r="AA302" s="126"/>
      <c r="AB302" s="126"/>
      <c r="AC302" s="126"/>
      <c r="AD302" s="126"/>
      <c r="AE302" s="126"/>
      <c r="AF302" s="126"/>
      <c r="AG302" s="126"/>
      <c r="AH302" s="126"/>
      <c r="AI302" s="126"/>
      <c r="AJ302" s="126"/>
      <c r="AK302" s="126"/>
      <c r="AL302" s="126"/>
    </row>
    <row r="303" spans="25:38" x14ac:dyDescent="0.25">
      <c r="Y303" s="147"/>
      <c r="Z303" s="148"/>
      <c r="AA303" s="126"/>
      <c r="AB303" s="126"/>
      <c r="AC303" s="126"/>
      <c r="AD303" s="126"/>
      <c r="AE303" s="126"/>
      <c r="AF303" s="126"/>
      <c r="AG303" s="126"/>
      <c r="AH303" s="126"/>
      <c r="AI303" s="126"/>
      <c r="AJ303" s="126"/>
      <c r="AK303" s="126"/>
      <c r="AL303" s="126"/>
    </row>
    <row r="304" spans="25:38" x14ac:dyDescent="0.25">
      <c r="Y304" s="137"/>
      <c r="Z304" s="138"/>
      <c r="AA304" s="125"/>
      <c r="AB304" s="125"/>
      <c r="AC304" s="125"/>
      <c r="AD304" s="125"/>
      <c r="AE304" s="125"/>
      <c r="AF304" s="125"/>
      <c r="AG304" s="125"/>
      <c r="AH304" s="125"/>
      <c r="AI304" s="125"/>
      <c r="AJ304" s="125"/>
      <c r="AK304" s="125"/>
      <c r="AL304" s="125"/>
    </row>
    <row r="305" spans="25:38" x14ac:dyDescent="0.25">
      <c r="Y305" s="139"/>
      <c r="Z305" s="140"/>
      <c r="AA305" s="125"/>
      <c r="AB305" s="125"/>
      <c r="AC305" s="125"/>
      <c r="AD305" s="125"/>
      <c r="AE305" s="125"/>
      <c r="AF305" s="125"/>
      <c r="AG305" s="125"/>
      <c r="AH305" s="125"/>
      <c r="AI305" s="125"/>
      <c r="AJ305" s="125"/>
      <c r="AK305" s="125"/>
      <c r="AL305" s="125"/>
    </row>
    <row r="306" spans="25:38" x14ac:dyDescent="0.25">
      <c r="Y306" s="139"/>
      <c r="Z306" s="140"/>
      <c r="AA306" s="125"/>
      <c r="AB306" s="125"/>
      <c r="AC306" s="125"/>
      <c r="AD306" s="125"/>
      <c r="AE306" s="125"/>
      <c r="AF306" s="125"/>
      <c r="AG306" s="125"/>
      <c r="AH306" s="125"/>
      <c r="AI306" s="125"/>
      <c r="AJ306" s="125"/>
      <c r="AK306" s="125"/>
      <c r="AL306" s="125"/>
    </row>
    <row r="307" spans="25:38" x14ac:dyDescent="0.25">
      <c r="Y307" s="139"/>
      <c r="Z307" s="140"/>
      <c r="AA307" s="125"/>
      <c r="AB307" s="125"/>
      <c r="AC307" s="125"/>
      <c r="AD307" s="125"/>
      <c r="AE307" s="125"/>
      <c r="AF307" s="125"/>
      <c r="AG307" s="125"/>
      <c r="AH307" s="125"/>
      <c r="AI307" s="125"/>
      <c r="AJ307" s="125"/>
      <c r="AK307" s="125"/>
      <c r="AL307" s="125"/>
    </row>
    <row r="308" spans="25:38" x14ac:dyDescent="0.25">
      <c r="Y308" s="139"/>
      <c r="Z308" s="140"/>
      <c r="AA308" s="125"/>
      <c r="AB308" s="125"/>
      <c r="AC308" s="125"/>
      <c r="AD308" s="125"/>
      <c r="AE308" s="125"/>
      <c r="AF308" s="125"/>
      <c r="AG308" s="125"/>
      <c r="AH308" s="125"/>
      <c r="AI308" s="125"/>
      <c r="AJ308" s="125"/>
      <c r="AK308" s="125"/>
      <c r="AL308" s="125"/>
    </row>
    <row r="309" spans="25:38" x14ac:dyDescent="0.25">
      <c r="Y309" s="139"/>
      <c r="Z309" s="140"/>
      <c r="AA309" s="125"/>
      <c r="AB309" s="125"/>
      <c r="AC309" s="125"/>
      <c r="AD309" s="125"/>
      <c r="AE309" s="125"/>
      <c r="AF309" s="125"/>
      <c r="AG309" s="125"/>
      <c r="AH309" s="125"/>
      <c r="AI309" s="125"/>
      <c r="AJ309" s="125"/>
      <c r="AK309" s="125"/>
      <c r="AL309" s="125"/>
    </row>
    <row r="310" spans="25:38" x14ac:dyDescent="0.25">
      <c r="Y310" s="139"/>
      <c r="Z310" s="140"/>
      <c r="AA310" s="125"/>
      <c r="AB310" s="125"/>
      <c r="AC310" s="125"/>
      <c r="AD310" s="125"/>
      <c r="AE310" s="125"/>
      <c r="AF310" s="125"/>
      <c r="AG310" s="125"/>
      <c r="AH310" s="125"/>
      <c r="AI310" s="125"/>
      <c r="AJ310" s="125"/>
      <c r="AK310" s="125"/>
      <c r="AL310" s="125"/>
    </row>
    <row r="311" spans="25:38" x14ac:dyDescent="0.25">
      <c r="Y311" s="139"/>
      <c r="Z311" s="140"/>
      <c r="AA311" s="125"/>
      <c r="AB311" s="125"/>
      <c r="AC311" s="125"/>
      <c r="AD311" s="125"/>
      <c r="AE311" s="125"/>
      <c r="AF311" s="125"/>
      <c r="AG311" s="125"/>
      <c r="AH311" s="125"/>
      <c r="AI311" s="125"/>
      <c r="AJ311" s="125"/>
      <c r="AK311" s="125"/>
      <c r="AL311" s="125"/>
    </row>
    <row r="312" spans="25:38" x14ac:dyDescent="0.25">
      <c r="Y312" s="139"/>
      <c r="Z312" s="140"/>
      <c r="AA312" s="125"/>
      <c r="AB312" s="125"/>
      <c r="AC312" s="125"/>
      <c r="AD312" s="125"/>
      <c r="AE312" s="125"/>
      <c r="AF312" s="125"/>
      <c r="AG312" s="125"/>
      <c r="AH312" s="125"/>
      <c r="AI312" s="125"/>
      <c r="AJ312" s="125"/>
      <c r="AK312" s="125"/>
      <c r="AL312" s="125"/>
    </row>
    <row r="313" spans="25:38" x14ac:dyDescent="0.25">
      <c r="Y313" s="139"/>
      <c r="Z313" s="140"/>
      <c r="AA313" s="125"/>
      <c r="AB313" s="125"/>
      <c r="AC313" s="125"/>
      <c r="AD313" s="125"/>
      <c r="AE313" s="125"/>
      <c r="AF313" s="125"/>
      <c r="AG313" s="125"/>
      <c r="AH313" s="125"/>
      <c r="AI313" s="125"/>
      <c r="AJ313" s="125"/>
      <c r="AK313" s="125"/>
      <c r="AL313" s="125"/>
    </row>
    <row r="314" spans="25:38" x14ac:dyDescent="0.25">
      <c r="Y314" s="139"/>
      <c r="Z314" s="140"/>
      <c r="AA314" s="125"/>
      <c r="AB314" s="125"/>
      <c r="AC314" s="125"/>
      <c r="AD314" s="125"/>
      <c r="AE314" s="125"/>
      <c r="AF314" s="125"/>
      <c r="AG314" s="125"/>
      <c r="AH314" s="125"/>
      <c r="AI314" s="125"/>
      <c r="AJ314" s="125"/>
      <c r="AK314" s="125"/>
      <c r="AL314" s="125"/>
    </row>
    <row r="315" spans="25:38" x14ac:dyDescent="0.25">
      <c r="Y315" s="139"/>
      <c r="Z315" s="140"/>
      <c r="AA315" s="125"/>
      <c r="AB315" s="125"/>
      <c r="AC315" s="125"/>
      <c r="AD315" s="125"/>
      <c r="AE315" s="125"/>
      <c r="AF315" s="125"/>
      <c r="AG315" s="125"/>
      <c r="AH315" s="125"/>
      <c r="AI315" s="125"/>
      <c r="AJ315" s="125"/>
      <c r="AK315" s="125"/>
      <c r="AL315" s="125"/>
    </row>
    <row r="316" spans="25:38" x14ac:dyDescent="0.25">
      <c r="Y316" s="139"/>
      <c r="Z316" s="140"/>
      <c r="AA316" s="125"/>
      <c r="AB316" s="125"/>
      <c r="AC316" s="125"/>
      <c r="AD316" s="125"/>
      <c r="AE316" s="125"/>
      <c r="AF316" s="125"/>
      <c r="AG316" s="125"/>
      <c r="AH316" s="125"/>
      <c r="AI316" s="125"/>
      <c r="AJ316" s="125"/>
      <c r="AK316" s="125"/>
      <c r="AL316" s="125"/>
    </row>
    <row r="317" spans="25:38" x14ac:dyDescent="0.25">
      <c r="Y317" s="139"/>
      <c r="Z317" s="140"/>
      <c r="AA317" s="125"/>
      <c r="AB317" s="125"/>
      <c r="AC317" s="125"/>
      <c r="AD317" s="125"/>
      <c r="AE317" s="125"/>
      <c r="AF317" s="125"/>
      <c r="AG317" s="125"/>
      <c r="AH317" s="125"/>
      <c r="AI317" s="125"/>
      <c r="AJ317" s="125"/>
      <c r="AK317" s="125"/>
      <c r="AL317" s="125"/>
    </row>
    <row r="318" spans="25:38" x14ac:dyDescent="0.25">
      <c r="Y318" s="139"/>
      <c r="Z318" s="140"/>
      <c r="AA318" s="125"/>
      <c r="AB318" s="125"/>
      <c r="AC318" s="125"/>
      <c r="AD318" s="125"/>
      <c r="AE318" s="125"/>
      <c r="AF318" s="125"/>
      <c r="AG318" s="125"/>
      <c r="AH318" s="125"/>
      <c r="AI318" s="125"/>
      <c r="AJ318" s="125"/>
      <c r="AK318" s="125"/>
      <c r="AL318" s="125"/>
    </row>
    <row r="319" spans="25:38" x14ac:dyDescent="0.25">
      <c r="Y319" s="139"/>
      <c r="Z319" s="140"/>
      <c r="AA319" s="125"/>
      <c r="AB319" s="125"/>
      <c r="AC319" s="125"/>
      <c r="AD319" s="125"/>
      <c r="AE319" s="125"/>
      <c r="AF319" s="125"/>
      <c r="AG319" s="125"/>
      <c r="AH319" s="125"/>
      <c r="AI319" s="125"/>
      <c r="AJ319" s="125"/>
      <c r="AK319" s="125"/>
      <c r="AL319" s="125"/>
    </row>
    <row r="320" spans="25:38" x14ac:dyDescent="0.25">
      <c r="Y320" s="139"/>
      <c r="Z320" s="140"/>
      <c r="AA320" s="125"/>
      <c r="AB320" s="125"/>
      <c r="AC320" s="125"/>
      <c r="AD320" s="125"/>
      <c r="AE320" s="125"/>
      <c r="AF320" s="125"/>
      <c r="AG320" s="125"/>
      <c r="AH320" s="125"/>
      <c r="AI320" s="125"/>
      <c r="AJ320" s="125"/>
      <c r="AK320" s="125"/>
      <c r="AL320" s="125"/>
    </row>
    <row r="321" spans="25:38" x14ac:dyDescent="0.25">
      <c r="Y321" s="139"/>
      <c r="Z321" s="140"/>
      <c r="AA321" s="125"/>
      <c r="AB321" s="125"/>
      <c r="AC321" s="125"/>
      <c r="AD321" s="125"/>
      <c r="AE321" s="125"/>
      <c r="AF321" s="125"/>
      <c r="AG321" s="125"/>
      <c r="AH321" s="125"/>
      <c r="AI321" s="125"/>
      <c r="AJ321" s="125"/>
      <c r="AK321" s="125"/>
      <c r="AL321" s="125"/>
    </row>
    <row r="322" spans="25:38" x14ac:dyDescent="0.25">
      <c r="Y322" s="139"/>
      <c r="Z322" s="140"/>
      <c r="AA322" s="125"/>
      <c r="AB322" s="125"/>
      <c r="AC322" s="125"/>
      <c r="AD322" s="125"/>
      <c r="AE322" s="125"/>
      <c r="AF322" s="125"/>
      <c r="AG322" s="125"/>
      <c r="AH322" s="125"/>
      <c r="AI322" s="125"/>
      <c r="AJ322" s="125"/>
      <c r="AK322" s="125"/>
      <c r="AL322" s="125"/>
    </row>
    <row r="323" spans="25:38" x14ac:dyDescent="0.25">
      <c r="Y323" s="139"/>
      <c r="Z323" s="140"/>
      <c r="AA323" s="125"/>
      <c r="AB323" s="125"/>
      <c r="AC323" s="125"/>
      <c r="AD323" s="125"/>
      <c r="AE323" s="125"/>
      <c r="AF323" s="125"/>
      <c r="AG323" s="125"/>
      <c r="AH323" s="125"/>
      <c r="AI323" s="125"/>
      <c r="AJ323" s="125"/>
      <c r="AK323" s="125"/>
      <c r="AL323" s="125"/>
    </row>
    <row r="324" spans="25:38" x14ac:dyDescent="0.25">
      <c r="Y324" s="139"/>
      <c r="Z324" s="140"/>
      <c r="AA324" s="125"/>
      <c r="AB324" s="125"/>
      <c r="AC324" s="125"/>
      <c r="AD324" s="125"/>
      <c r="AE324" s="125"/>
      <c r="AF324" s="125"/>
      <c r="AG324" s="125"/>
      <c r="AH324" s="125"/>
      <c r="AI324" s="125"/>
      <c r="AJ324" s="125"/>
      <c r="AK324" s="125"/>
      <c r="AL324" s="125"/>
    </row>
    <row r="325" spans="25:38" x14ac:dyDescent="0.25">
      <c r="Y325" s="139"/>
      <c r="Z325" s="140"/>
      <c r="AA325" s="125"/>
      <c r="AB325" s="125"/>
      <c r="AC325" s="125"/>
      <c r="AD325" s="125"/>
      <c r="AE325" s="125"/>
      <c r="AF325" s="125"/>
      <c r="AG325" s="125"/>
      <c r="AH325" s="125"/>
      <c r="AI325" s="125"/>
      <c r="AJ325" s="125"/>
      <c r="AK325" s="125"/>
      <c r="AL325" s="125"/>
    </row>
    <row r="326" spans="25:38" x14ac:dyDescent="0.25">
      <c r="Y326" s="139"/>
      <c r="Z326" s="140"/>
      <c r="AA326" s="125"/>
      <c r="AB326" s="125"/>
      <c r="AC326" s="125"/>
      <c r="AD326" s="125"/>
      <c r="AE326" s="125"/>
      <c r="AF326" s="125"/>
      <c r="AG326" s="125"/>
      <c r="AH326" s="125"/>
      <c r="AI326" s="125"/>
      <c r="AJ326" s="125"/>
      <c r="AK326" s="125"/>
      <c r="AL326" s="125"/>
    </row>
    <row r="327" spans="25:38" x14ac:dyDescent="0.25">
      <c r="Y327" s="139"/>
      <c r="Z327" s="140"/>
      <c r="AA327" s="125"/>
      <c r="AB327" s="125"/>
      <c r="AC327" s="125"/>
      <c r="AD327" s="125"/>
      <c r="AE327" s="125"/>
      <c r="AF327" s="125"/>
      <c r="AG327" s="125"/>
      <c r="AH327" s="125"/>
      <c r="AI327" s="125"/>
      <c r="AJ327" s="125"/>
      <c r="AK327" s="125"/>
      <c r="AL327" s="125"/>
    </row>
    <row r="328" spans="25:38" x14ac:dyDescent="0.25">
      <c r="Y328" s="139"/>
      <c r="Z328" s="140"/>
      <c r="AA328" s="125"/>
      <c r="AB328" s="125"/>
      <c r="AC328" s="125"/>
      <c r="AD328" s="125"/>
      <c r="AE328" s="125"/>
      <c r="AF328" s="125"/>
      <c r="AG328" s="125"/>
      <c r="AH328" s="125"/>
      <c r="AI328" s="125"/>
      <c r="AJ328" s="125"/>
      <c r="AK328" s="125"/>
      <c r="AL328" s="125"/>
    </row>
    <row r="329" spans="25:38" x14ac:dyDescent="0.25">
      <c r="Y329" s="139"/>
      <c r="Z329" s="140"/>
      <c r="AA329" s="125"/>
      <c r="AB329" s="125"/>
      <c r="AC329" s="125"/>
      <c r="AD329" s="125"/>
      <c r="AE329" s="125"/>
      <c r="AF329" s="125"/>
      <c r="AG329" s="125"/>
      <c r="AH329" s="125"/>
      <c r="AI329" s="125"/>
      <c r="AJ329" s="125"/>
      <c r="AK329" s="125"/>
      <c r="AL329" s="125"/>
    </row>
    <row r="330" spans="25:38" x14ac:dyDescent="0.25">
      <c r="Y330" s="139"/>
      <c r="Z330" s="140"/>
      <c r="AA330" s="125"/>
      <c r="AB330" s="125"/>
      <c r="AC330" s="125"/>
      <c r="AD330" s="125"/>
      <c r="AE330" s="125"/>
      <c r="AF330" s="125"/>
      <c r="AG330" s="125"/>
      <c r="AH330" s="125"/>
      <c r="AI330" s="125"/>
      <c r="AJ330" s="125"/>
      <c r="AK330" s="125"/>
      <c r="AL330" s="125"/>
    </row>
    <row r="331" spans="25:38" x14ac:dyDescent="0.25">
      <c r="Y331" s="139"/>
      <c r="Z331" s="140"/>
      <c r="AA331" s="125"/>
      <c r="AB331" s="125"/>
      <c r="AC331" s="125"/>
      <c r="AD331" s="125"/>
      <c r="AE331" s="125"/>
      <c r="AF331" s="125"/>
      <c r="AG331" s="125"/>
      <c r="AH331" s="125"/>
      <c r="AI331" s="125"/>
      <c r="AJ331" s="125"/>
      <c r="AK331" s="125"/>
      <c r="AL331" s="125"/>
    </row>
    <row r="332" spans="25:38" x14ac:dyDescent="0.25">
      <c r="Y332" s="139"/>
      <c r="Z332" s="140"/>
      <c r="AA332" s="125"/>
      <c r="AB332" s="125"/>
      <c r="AC332" s="125"/>
      <c r="AD332" s="125"/>
      <c r="AE332" s="125"/>
      <c r="AF332" s="125"/>
      <c r="AG332" s="125"/>
      <c r="AH332" s="125"/>
      <c r="AI332" s="125"/>
      <c r="AJ332" s="125"/>
      <c r="AK332" s="125"/>
      <c r="AL332" s="125"/>
    </row>
    <row r="333" spans="25:38" x14ac:dyDescent="0.25">
      <c r="Y333" s="141"/>
      <c r="Z333" s="142"/>
      <c r="AA333" s="125"/>
      <c r="AB333" s="125"/>
      <c r="AC333" s="125"/>
      <c r="AD333" s="125"/>
      <c r="AE333" s="125"/>
      <c r="AF333" s="125"/>
      <c r="AG333" s="125"/>
      <c r="AH333" s="125"/>
      <c r="AI333" s="125"/>
      <c r="AJ333" s="125"/>
      <c r="AK333" s="125"/>
      <c r="AL333" s="125"/>
    </row>
    <row r="334" spans="25:38" x14ac:dyDescent="0.25">
      <c r="Y334" s="143"/>
      <c r="Z334" s="144"/>
      <c r="AA334" s="126"/>
      <c r="AB334" s="126"/>
      <c r="AC334" s="126"/>
      <c r="AD334" s="126"/>
      <c r="AE334" s="126"/>
      <c r="AF334" s="126"/>
      <c r="AG334" s="126"/>
      <c r="AH334" s="126"/>
      <c r="AI334" s="126"/>
      <c r="AJ334" s="126"/>
      <c r="AK334" s="126"/>
      <c r="AL334" s="126"/>
    </row>
    <row r="335" spans="25:38" x14ac:dyDescent="0.25">
      <c r="Y335" s="145"/>
      <c r="Z335" s="146"/>
      <c r="AA335" s="126"/>
      <c r="AB335" s="126"/>
      <c r="AC335" s="126"/>
      <c r="AD335" s="126"/>
      <c r="AE335" s="126"/>
      <c r="AF335" s="126"/>
      <c r="AG335" s="126"/>
      <c r="AH335" s="126"/>
      <c r="AI335" s="126"/>
      <c r="AJ335" s="126"/>
      <c r="AK335" s="126"/>
      <c r="AL335" s="126"/>
    </row>
    <row r="336" spans="25:38" x14ac:dyDescent="0.25">
      <c r="Y336" s="145"/>
      <c r="Z336" s="146"/>
      <c r="AA336" s="126"/>
      <c r="AB336" s="126"/>
      <c r="AC336" s="126"/>
      <c r="AD336" s="126"/>
      <c r="AE336" s="126"/>
      <c r="AF336" s="126"/>
      <c r="AG336" s="126"/>
      <c r="AH336" s="126"/>
      <c r="AI336" s="126"/>
      <c r="AJ336" s="126"/>
      <c r="AK336" s="126"/>
      <c r="AL336" s="126"/>
    </row>
    <row r="337" spans="25:38" x14ac:dyDescent="0.25">
      <c r="Y337" s="145"/>
      <c r="Z337" s="146"/>
      <c r="AA337" s="126"/>
      <c r="AB337" s="126"/>
      <c r="AC337" s="126"/>
      <c r="AD337" s="126"/>
      <c r="AE337" s="126"/>
      <c r="AF337" s="126"/>
      <c r="AG337" s="126"/>
      <c r="AH337" s="126"/>
      <c r="AI337" s="126"/>
      <c r="AJ337" s="126"/>
      <c r="AK337" s="126"/>
      <c r="AL337" s="126"/>
    </row>
    <row r="338" spans="25:38" x14ac:dyDescent="0.25">
      <c r="Y338" s="145"/>
      <c r="Z338" s="146"/>
      <c r="AA338" s="126"/>
      <c r="AB338" s="126"/>
      <c r="AC338" s="126"/>
      <c r="AD338" s="126"/>
      <c r="AE338" s="126"/>
      <c r="AF338" s="126"/>
      <c r="AG338" s="126"/>
      <c r="AH338" s="126"/>
      <c r="AI338" s="126"/>
      <c r="AJ338" s="126"/>
      <c r="AK338" s="126"/>
      <c r="AL338" s="126"/>
    </row>
    <row r="339" spans="25:38" x14ac:dyDescent="0.25">
      <c r="Y339" s="145"/>
      <c r="Z339" s="146"/>
      <c r="AA339" s="126"/>
      <c r="AB339" s="126"/>
      <c r="AC339" s="126"/>
      <c r="AD339" s="126"/>
      <c r="AE339" s="126"/>
      <c r="AF339" s="126"/>
      <c r="AG339" s="126"/>
      <c r="AH339" s="126"/>
      <c r="AI339" s="126"/>
      <c r="AJ339" s="126"/>
      <c r="AK339" s="126"/>
      <c r="AL339" s="126"/>
    </row>
    <row r="340" spans="25:38" x14ac:dyDescent="0.25">
      <c r="Y340" s="145"/>
      <c r="Z340" s="146"/>
      <c r="AA340" s="126"/>
      <c r="AB340" s="126"/>
      <c r="AC340" s="126"/>
      <c r="AD340" s="126"/>
      <c r="AE340" s="126"/>
      <c r="AF340" s="126"/>
      <c r="AG340" s="126"/>
      <c r="AH340" s="126"/>
      <c r="AI340" s="126"/>
      <c r="AJ340" s="126"/>
      <c r="AK340" s="126"/>
      <c r="AL340" s="126"/>
    </row>
    <row r="341" spans="25:38" x14ac:dyDescent="0.25">
      <c r="Y341" s="145"/>
      <c r="Z341" s="146"/>
      <c r="AA341" s="126"/>
      <c r="AB341" s="126"/>
      <c r="AC341" s="126"/>
      <c r="AD341" s="126"/>
      <c r="AE341" s="126"/>
      <c r="AF341" s="126"/>
      <c r="AG341" s="126"/>
      <c r="AH341" s="126"/>
      <c r="AI341" s="126"/>
      <c r="AJ341" s="126"/>
      <c r="AK341" s="126"/>
      <c r="AL341" s="126"/>
    </row>
    <row r="342" spans="25:38" x14ac:dyDescent="0.25">
      <c r="Y342" s="145"/>
      <c r="Z342" s="146"/>
      <c r="AA342" s="126"/>
      <c r="AB342" s="126"/>
      <c r="AC342" s="126"/>
      <c r="AD342" s="126"/>
      <c r="AE342" s="126"/>
      <c r="AF342" s="126"/>
      <c r="AG342" s="126"/>
      <c r="AH342" s="126"/>
      <c r="AI342" s="126"/>
      <c r="AJ342" s="126"/>
      <c r="AK342" s="126"/>
      <c r="AL342" s="126"/>
    </row>
    <row r="343" spans="25:38" x14ac:dyDescent="0.25">
      <c r="Y343" s="145"/>
      <c r="Z343" s="146"/>
      <c r="AA343" s="126"/>
      <c r="AB343" s="126"/>
      <c r="AC343" s="126"/>
      <c r="AD343" s="126"/>
      <c r="AE343" s="126"/>
      <c r="AF343" s="126"/>
      <c r="AG343" s="126"/>
      <c r="AH343" s="126"/>
      <c r="AI343" s="126"/>
      <c r="AJ343" s="126"/>
      <c r="AK343" s="126"/>
      <c r="AL343" s="126"/>
    </row>
    <row r="344" spans="25:38" x14ac:dyDescent="0.25">
      <c r="Y344" s="145"/>
      <c r="Z344" s="146"/>
      <c r="AA344" s="126"/>
      <c r="AB344" s="126"/>
      <c r="AC344" s="126"/>
      <c r="AD344" s="126"/>
      <c r="AE344" s="126"/>
      <c r="AF344" s="126"/>
      <c r="AG344" s="126"/>
      <c r="AH344" s="126"/>
      <c r="AI344" s="126"/>
      <c r="AJ344" s="126"/>
      <c r="AK344" s="126"/>
      <c r="AL344" s="126"/>
    </row>
    <row r="345" spans="25:38" x14ac:dyDescent="0.25">
      <c r="Y345" s="145"/>
      <c r="Z345" s="146"/>
      <c r="AA345" s="126"/>
      <c r="AB345" s="126"/>
      <c r="AC345" s="126"/>
      <c r="AD345" s="126"/>
      <c r="AE345" s="126"/>
      <c r="AF345" s="126"/>
      <c r="AG345" s="126"/>
      <c r="AH345" s="126"/>
      <c r="AI345" s="126"/>
      <c r="AJ345" s="126"/>
      <c r="AK345" s="126"/>
      <c r="AL345" s="126"/>
    </row>
    <row r="346" spans="25:38" x14ac:dyDescent="0.25">
      <c r="Y346" s="145"/>
      <c r="Z346" s="146"/>
      <c r="AA346" s="126"/>
      <c r="AB346" s="126"/>
      <c r="AC346" s="126"/>
      <c r="AD346" s="126"/>
      <c r="AE346" s="126"/>
      <c r="AF346" s="126"/>
      <c r="AG346" s="126"/>
      <c r="AH346" s="126"/>
      <c r="AI346" s="126"/>
      <c r="AJ346" s="126"/>
      <c r="AK346" s="126"/>
      <c r="AL346" s="126"/>
    </row>
    <row r="347" spans="25:38" x14ac:dyDescent="0.25">
      <c r="Y347" s="145"/>
      <c r="Z347" s="146"/>
      <c r="AA347" s="126"/>
      <c r="AB347" s="126"/>
      <c r="AC347" s="126"/>
      <c r="AD347" s="126"/>
      <c r="AE347" s="126"/>
      <c r="AF347" s="126"/>
      <c r="AG347" s="126"/>
      <c r="AH347" s="126"/>
      <c r="AI347" s="126"/>
      <c r="AJ347" s="126"/>
      <c r="AK347" s="126"/>
      <c r="AL347" s="126"/>
    </row>
    <row r="348" spans="25:38" x14ac:dyDescent="0.25">
      <c r="Y348" s="145"/>
      <c r="Z348" s="146"/>
      <c r="AA348" s="126"/>
      <c r="AB348" s="126"/>
      <c r="AC348" s="126"/>
      <c r="AD348" s="126"/>
      <c r="AE348" s="126"/>
      <c r="AF348" s="126"/>
      <c r="AG348" s="126"/>
      <c r="AH348" s="126"/>
      <c r="AI348" s="126"/>
      <c r="AJ348" s="126"/>
      <c r="AK348" s="126"/>
      <c r="AL348" s="126"/>
    </row>
    <row r="349" spans="25:38" x14ac:dyDescent="0.25">
      <c r="Y349" s="145"/>
      <c r="Z349" s="146"/>
      <c r="AA349" s="126"/>
      <c r="AB349" s="126"/>
      <c r="AC349" s="126"/>
      <c r="AD349" s="126"/>
      <c r="AE349" s="126"/>
      <c r="AF349" s="126"/>
      <c r="AG349" s="126"/>
      <c r="AH349" s="126"/>
      <c r="AI349" s="126"/>
      <c r="AJ349" s="126"/>
      <c r="AK349" s="126"/>
      <c r="AL349" s="126"/>
    </row>
    <row r="350" spans="25:38" x14ac:dyDescent="0.25">
      <c r="Y350" s="145"/>
      <c r="Z350" s="146"/>
      <c r="AA350" s="126"/>
      <c r="AB350" s="126"/>
      <c r="AC350" s="126"/>
      <c r="AD350" s="126"/>
      <c r="AE350" s="126"/>
      <c r="AF350" s="126"/>
      <c r="AG350" s="126"/>
      <c r="AH350" s="126"/>
      <c r="AI350" s="126"/>
      <c r="AJ350" s="126"/>
      <c r="AK350" s="126"/>
      <c r="AL350" s="126"/>
    </row>
    <row r="351" spans="25:38" x14ac:dyDescent="0.25">
      <c r="Y351" s="145"/>
      <c r="Z351" s="146"/>
      <c r="AA351" s="126"/>
      <c r="AB351" s="126"/>
      <c r="AC351" s="126"/>
      <c r="AD351" s="126"/>
      <c r="AE351" s="126"/>
      <c r="AF351" s="126"/>
      <c r="AG351" s="126"/>
      <c r="AH351" s="126"/>
      <c r="AI351" s="126"/>
      <c r="AJ351" s="126"/>
      <c r="AK351" s="126"/>
      <c r="AL351" s="126"/>
    </row>
    <row r="352" spans="25:38" x14ac:dyDescent="0.25">
      <c r="Y352" s="145"/>
      <c r="Z352" s="146"/>
      <c r="AA352" s="126"/>
      <c r="AB352" s="126"/>
      <c r="AC352" s="126"/>
      <c r="AD352" s="126"/>
      <c r="AE352" s="126"/>
      <c r="AF352" s="126"/>
      <c r="AG352" s="126"/>
      <c r="AH352" s="126"/>
      <c r="AI352" s="126"/>
      <c r="AJ352" s="126"/>
      <c r="AK352" s="126"/>
      <c r="AL352" s="126"/>
    </row>
    <row r="353" spans="25:38" x14ac:dyDescent="0.25">
      <c r="Y353" s="145"/>
      <c r="Z353" s="146"/>
      <c r="AA353" s="126"/>
      <c r="AB353" s="126"/>
      <c r="AC353" s="126"/>
      <c r="AD353" s="126"/>
      <c r="AE353" s="126"/>
      <c r="AF353" s="126"/>
      <c r="AG353" s="126"/>
      <c r="AH353" s="126"/>
      <c r="AI353" s="126"/>
      <c r="AJ353" s="126"/>
      <c r="AK353" s="126"/>
      <c r="AL353" s="126"/>
    </row>
    <row r="354" spans="25:38" x14ac:dyDescent="0.25">
      <c r="Y354" s="145"/>
      <c r="Z354" s="146"/>
      <c r="AA354" s="126"/>
      <c r="AB354" s="126"/>
      <c r="AC354" s="126"/>
      <c r="AD354" s="126"/>
      <c r="AE354" s="126"/>
      <c r="AF354" s="126"/>
      <c r="AG354" s="126"/>
      <c r="AH354" s="126"/>
      <c r="AI354" s="126"/>
      <c r="AJ354" s="126"/>
      <c r="AK354" s="126"/>
      <c r="AL354" s="126"/>
    </row>
    <row r="355" spans="25:38" x14ac:dyDescent="0.25">
      <c r="Y355" s="145"/>
      <c r="Z355" s="146"/>
      <c r="AA355" s="126"/>
      <c r="AB355" s="126"/>
      <c r="AC355" s="126"/>
      <c r="AD355" s="126"/>
      <c r="AE355" s="126"/>
      <c r="AF355" s="126"/>
      <c r="AG355" s="126"/>
      <c r="AH355" s="126"/>
      <c r="AI355" s="126"/>
      <c r="AJ355" s="126"/>
      <c r="AK355" s="126"/>
      <c r="AL355" s="126"/>
    </row>
    <row r="356" spans="25:38" x14ac:dyDescent="0.25">
      <c r="Y356" s="145"/>
      <c r="Z356" s="146"/>
      <c r="AA356" s="126"/>
      <c r="AB356" s="126"/>
      <c r="AC356" s="126"/>
      <c r="AD356" s="126"/>
      <c r="AE356" s="126"/>
      <c r="AF356" s="126"/>
      <c r="AG356" s="126"/>
      <c r="AH356" s="126"/>
      <c r="AI356" s="126"/>
      <c r="AJ356" s="126"/>
      <c r="AK356" s="126"/>
      <c r="AL356" s="126"/>
    </row>
    <row r="357" spans="25:38" x14ac:dyDescent="0.25">
      <c r="Y357" s="145"/>
      <c r="Z357" s="146"/>
      <c r="AA357" s="126"/>
      <c r="AB357" s="126"/>
      <c r="AC357" s="126"/>
      <c r="AD357" s="126"/>
      <c r="AE357" s="126"/>
      <c r="AF357" s="126"/>
      <c r="AG357" s="126"/>
      <c r="AH357" s="126"/>
      <c r="AI357" s="126"/>
      <c r="AJ357" s="126"/>
      <c r="AK357" s="126"/>
      <c r="AL357" s="126"/>
    </row>
    <row r="358" spans="25:38" x14ac:dyDescent="0.25">
      <c r="Y358" s="145"/>
      <c r="Z358" s="146"/>
      <c r="AA358" s="126"/>
      <c r="AB358" s="126"/>
      <c r="AC358" s="126"/>
      <c r="AD358" s="126"/>
      <c r="AE358" s="126"/>
      <c r="AF358" s="126"/>
      <c r="AG358" s="126"/>
      <c r="AH358" s="126"/>
      <c r="AI358" s="126"/>
      <c r="AJ358" s="126"/>
      <c r="AK358" s="126"/>
      <c r="AL358" s="126"/>
    </row>
    <row r="359" spans="25:38" x14ac:dyDescent="0.25">
      <c r="Y359" s="145"/>
      <c r="Z359" s="146"/>
      <c r="AA359" s="126"/>
      <c r="AB359" s="126"/>
      <c r="AC359" s="126"/>
      <c r="AD359" s="126"/>
      <c r="AE359" s="126"/>
      <c r="AF359" s="126"/>
      <c r="AG359" s="126"/>
      <c r="AH359" s="126"/>
      <c r="AI359" s="126"/>
      <c r="AJ359" s="126"/>
      <c r="AK359" s="126"/>
      <c r="AL359" s="126"/>
    </row>
    <row r="360" spans="25:38" x14ac:dyDescent="0.25">
      <c r="Y360" s="145"/>
      <c r="Z360" s="146"/>
      <c r="AA360" s="126"/>
      <c r="AB360" s="126"/>
      <c r="AC360" s="126"/>
      <c r="AD360" s="126"/>
      <c r="AE360" s="126"/>
      <c r="AF360" s="126"/>
      <c r="AG360" s="126"/>
      <c r="AH360" s="126"/>
      <c r="AI360" s="126"/>
      <c r="AJ360" s="126"/>
      <c r="AK360" s="126"/>
      <c r="AL360" s="126"/>
    </row>
    <row r="361" spans="25:38" x14ac:dyDescent="0.25">
      <c r="Y361" s="145"/>
      <c r="Z361" s="146"/>
      <c r="AA361" s="126"/>
      <c r="AB361" s="126"/>
      <c r="AC361" s="126"/>
      <c r="AD361" s="126"/>
      <c r="AE361" s="126"/>
      <c r="AF361" s="126"/>
      <c r="AG361" s="126"/>
      <c r="AH361" s="126"/>
      <c r="AI361" s="126"/>
      <c r="AJ361" s="126"/>
      <c r="AK361" s="126"/>
      <c r="AL361" s="126"/>
    </row>
    <row r="362" spans="25:38" x14ac:dyDescent="0.25">
      <c r="Y362" s="145"/>
      <c r="Z362" s="146"/>
      <c r="AA362" s="126"/>
      <c r="AB362" s="126"/>
      <c r="AC362" s="126"/>
      <c r="AD362" s="126"/>
      <c r="AE362" s="126"/>
      <c r="AF362" s="126"/>
      <c r="AG362" s="126"/>
      <c r="AH362" s="126"/>
      <c r="AI362" s="126"/>
      <c r="AJ362" s="126"/>
      <c r="AK362" s="126"/>
      <c r="AL362" s="126"/>
    </row>
    <row r="363" spans="25:38" x14ac:dyDescent="0.25">
      <c r="Y363" s="147"/>
      <c r="Z363" s="148"/>
      <c r="AA363" s="126"/>
      <c r="AB363" s="126"/>
      <c r="AC363" s="126"/>
      <c r="AD363" s="126"/>
      <c r="AE363" s="126"/>
      <c r="AF363" s="126"/>
      <c r="AG363" s="126"/>
      <c r="AH363" s="126"/>
      <c r="AI363" s="126"/>
      <c r="AJ363" s="126"/>
      <c r="AK363" s="126"/>
      <c r="AL363" s="126"/>
    </row>
    <row r="364" spans="25:38" x14ac:dyDescent="0.25">
      <c r="Y364" s="137"/>
      <c r="Z364" s="138"/>
      <c r="AA364" s="125"/>
      <c r="AB364" s="125"/>
      <c r="AC364" s="125"/>
      <c r="AD364" s="125"/>
      <c r="AE364" s="125"/>
      <c r="AF364" s="125"/>
      <c r="AG364" s="125"/>
      <c r="AH364" s="125"/>
      <c r="AI364" s="125"/>
      <c r="AJ364" s="125"/>
      <c r="AK364" s="125"/>
      <c r="AL364" s="125"/>
    </row>
    <row r="365" spans="25:38" x14ac:dyDescent="0.25">
      <c r="Y365" s="139"/>
      <c r="Z365" s="140"/>
      <c r="AA365" s="125"/>
      <c r="AB365" s="125"/>
      <c r="AC365" s="125"/>
      <c r="AD365" s="125"/>
      <c r="AE365" s="125"/>
      <c r="AF365" s="125"/>
      <c r="AG365" s="125"/>
      <c r="AH365" s="125"/>
      <c r="AI365" s="125"/>
      <c r="AJ365" s="125"/>
      <c r="AK365" s="125"/>
      <c r="AL365" s="125"/>
    </row>
    <row r="366" spans="25:38" x14ac:dyDescent="0.25">
      <c r="Y366" s="139"/>
      <c r="Z366" s="140"/>
      <c r="AA366" s="125"/>
      <c r="AB366" s="125"/>
      <c r="AC366" s="125"/>
      <c r="AD366" s="125"/>
      <c r="AE366" s="125"/>
      <c r="AF366" s="125"/>
      <c r="AG366" s="125"/>
      <c r="AH366" s="125"/>
      <c r="AI366" s="125"/>
      <c r="AJ366" s="125"/>
      <c r="AK366" s="125"/>
      <c r="AL366" s="125"/>
    </row>
    <row r="367" spans="25:38" x14ac:dyDescent="0.25">
      <c r="Y367" s="139"/>
      <c r="Z367" s="140"/>
      <c r="AA367" s="125"/>
      <c r="AB367" s="125"/>
      <c r="AC367" s="125"/>
      <c r="AD367" s="125"/>
      <c r="AE367" s="125"/>
      <c r="AF367" s="125"/>
      <c r="AG367" s="125"/>
      <c r="AH367" s="125"/>
      <c r="AI367" s="125"/>
      <c r="AJ367" s="125"/>
      <c r="AK367" s="125"/>
      <c r="AL367" s="125"/>
    </row>
    <row r="368" spans="25:38" x14ac:dyDescent="0.25">
      <c r="Y368" s="139"/>
      <c r="Z368" s="140"/>
      <c r="AA368" s="125"/>
      <c r="AB368" s="125"/>
      <c r="AC368" s="125"/>
      <c r="AD368" s="125"/>
      <c r="AE368" s="125"/>
      <c r="AF368" s="125"/>
      <c r="AG368" s="125"/>
      <c r="AH368" s="125"/>
      <c r="AI368" s="125"/>
      <c r="AJ368" s="125"/>
      <c r="AK368" s="125"/>
      <c r="AL368" s="125"/>
    </row>
    <row r="369" spans="25:38" x14ac:dyDescent="0.25">
      <c r="Y369" s="139"/>
      <c r="Z369" s="140"/>
      <c r="AA369" s="125"/>
      <c r="AB369" s="125"/>
      <c r="AC369" s="125"/>
      <c r="AD369" s="125"/>
      <c r="AE369" s="125"/>
      <c r="AF369" s="125"/>
      <c r="AG369" s="125"/>
      <c r="AH369" s="125"/>
      <c r="AI369" s="125"/>
      <c r="AJ369" s="125"/>
      <c r="AK369" s="125"/>
      <c r="AL369" s="125"/>
    </row>
    <row r="370" spans="25:38" x14ac:dyDescent="0.25">
      <c r="Y370" s="139"/>
      <c r="Z370" s="140"/>
      <c r="AA370" s="125"/>
      <c r="AB370" s="125"/>
      <c r="AC370" s="125"/>
      <c r="AD370" s="125"/>
      <c r="AE370" s="125"/>
      <c r="AF370" s="125"/>
      <c r="AG370" s="125"/>
      <c r="AH370" s="125"/>
      <c r="AI370" s="125"/>
      <c r="AJ370" s="125"/>
      <c r="AK370" s="125"/>
      <c r="AL370" s="125"/>
    </row>
    <row r="371" spans="25:38" x14ac:dyDescent="0.25">
      <c r="Y371" s="139"/>
      <c r="Z371" s="140"/>
      <c r="AA371" s="125"/>
      <c r="AB371" s="125"/>
      <c r="AC371" s="125"/>
      <c r="AD371" s="125"/>
      <c r="AE371" s="125"/>
      <c r="AF371" s="125"/>
      <c r="AG371" s="125"/>
      <c r="AH371" s="125"/>
      <c r="AI371" s="125"/>
      <c r="AJ371" s="125"/>
      <c r="AK371" s="125"/>
      <c r="AL371" s="125"/>
    </row>
    <row r="372" spans="25:38" x14ac:dyDescent="0.25">
      <c r="Y372" s="139"/>
      <c r="Z372" s="140"/>
      <c r="AA372" s="125"/>
      <c r="AB372" s="125"/>
      <c r="AC372" s="125"/>
      <c r="AD372" s="125"/>
      <c r="AE372" s="125"/>
      <c r="AF372" s="125"/>
      <c r="AG372" s="125"/>
      <c r="AH372" s="125"/>
      <c r="AI372" s="125"/>
      <c r="AJ372" s="125"/>
      <c r="AK372" s="125"/>
      <c r="AL372" s="125"/>
    </row>
    <row r="373" spans="25:38" x14ac:dyDescent="0.25">
      <c r="Y373" s="139"/>
      <c r="Z373" s="140"/>
      <c r="AA373" s="125"/>
      <c r="AB373" s="125"/>
      <c r="AC373" s="125"/>
      <c r="AD373" s="125"/>
      <c r="AE373" s="125"/>
      <c r="AF373" s="125"/>
      <c r="AG373" s="125"/>
      <c r="AH373" s="125"/>
      <c r="AI373" s="125"/>
      <c r="AJ373" s="125"/>
      <c r="AK373" s="125"/>
      <c r="AL373" s="125"/>
    </row>
    <row r="374" spans="25:38" x14ac:dyDescent="0.25">
      <c r="Y374" s="139"/>
      <c r="Z374" s="140"/>
      <c r="AA374" s="125"/>
      <c r="AB374" s="125"/>
      <c r="AC374" s="125"/>
      <c r="AD374" s="125"/>
      <c r="AE374" s="125"/>
      <c r="AF374" s="125"/>
      <c r="AG374" s="125"/>
      <c r="AH374" s="125"/>
      <c r="AI374" s="125"/>
      <c r="AJ374" s="125"/>
      <c r="AK374" s="125"/>
      <c r="AL374" s="125"/>
    </row>
    <row r="375" spans="25:38" x14ac:dyDescent="0.25">
      <c r="Y375" s="139"/>
      <c r="Z375" s="140"/>
      <c r="AA375" s="125"/>
      <c r="AB375" s="125"/>
      <c r="AC375" s="125"/>
      <c r="AD375" s="125"/>
      <c r="AE375" s="125"/>
      <c r="AF375" s="125"/>
      <c r="AG375" s="125"/>
      <c r="AH375" s="125"/>
      <c r="AI375" s="125"/>
      <c r="AJ375" s="125"/>
      <c r="AK375" s="125"/>
      <c r="AL375" s="125"/>
    </row>
    <row r="376" spans="25:38" x14ac:dyDescent="0.25">
      <c r="Y376" s="139"/>
      <c r="Z376" s="140"/>
      <c r="AA376" s="125"/>
      <c r="AB376" s="125"/>
      <c r="AC376" s="125"/>
      <c r="AD376" s="125"/>
      <c r="AE376" s="125"/>
      <c r="AF376" s="125"/>
      <c r="AG376" s="125"/>
      <c r="AH376" s="125"/>
      <c r="AI376" s="125"/>
      <c r="AJ376" s="125"/>
      <c r="AK376" s="125"/>
      <c r="AL376" s="125"/>
    </row>
    <row r="377" spans="25:38" x14ac:dyDescent="0.25">
      <c r="Y377" s="139"/>
      <c r="Z377" s="140"/>
      <c r="AA377" s="125"/>
      <c r="AB377" s="125"/>
      <c r="AC377" s="125"/>
      <c r="AD377" s="125"/>
      <c r="AE377" s="125"/>
      <c r="AF377" s="125"/>
      <c r="AG377" s="125"/>
      <c r="AH377" s="125"/>
      <c r="AI377" s="125"/>
      <c r="AJ377" s="125"/>
      <c r="AK377" s="125"/>
      <c r="AL377" s="125"/>
    </row>
    <row r="378" spans="25:38" x14ac:dyDescent="0.25">
      <c r="Y378" s="139"/>
      <c r="Z378" s="140"/>
      <c r="AA378" s="125"/>
      <c r="AB378" s="125"/>
      <c r="AC378" s="125"/>
      <c r="AD378" s="125"/>
      <c r="AE378" s="125"/>
      <c r="AF378" s="125"/>
      <c r="AG378" s="125"/>
      <c r="AH378" s="125"/>
      <c r="AI378" s="125"/>
      <c r="AJ378" s="125"/>
      <c r="AK378" s="125"/>
      <c r="AL378" s="125"/>
    </row>
    <row r="379" spans="25:38" x14ac:dyDescent="0.25">
      <c r="Y379" s="139"/>
      <c r="Z379" s="140"/>
      <c r="AA379" s="125"/>
      <c r="AB379" s="125"/>
      <c r="AC379" s="125"/>
      <c r="AD379" s="125"/>
      <c r="AE379" s="125"/>
      <c r="AF379" s="125"/>
      <c r="AG379" s="125"/>
      <c r="AH379" s="125"/>
      <c r="AI379" s="125"/>
      <c r="AJ379" s="125"/>
      <c r="AK379" s="125"/>
      <c r="AL379" s="125"/>
    </row>
    <row r="380" spans="25:38" x14ac:dyDescent="0.25">
      <c r="Y380" s="139"/>
      <c r="Z380" s="140"/>
      <c r="AA380" s="125"/>
      <c r="AB380" s="125"/>
      <c r="AC380" s="125"/>
      <c r="AD380" s="125"/>
      <c r="AE380" s="125"/>
      <c r="AF380" s="125"/>
      <c r="AG380" s="125"/>
      <c r="AH380" s="125"/>
      <c r="AI380" s="125"/>
      <c r="AJ380" s="125"/>
      <c r="AK380" s="125"/>
      <c r="AL380" s="125"/>
    </row>
    <row r="381" spans="25:38" x14ac:dyDescent="0.25">
      <c r="Y381" s="139"/>
      <c r="Z381" s="140"/>
      <c r="AA381" s="125"/>
      <c r="AB381" s="125"/>
      <c r="AC381" s="125"/>
      <c r="AD381" s="125"/>
      <c r="AE381" s="125"/>
      <c r="AF381" s="125"/>
      <c r="AG381" s="125"/>
      <c r="AH381" s="125"/>
      <c r="AI381" s="125"/>
      <c r="AJ381" s="125"/>
      <c r="AK381" s="125"/>
      <c r="AL381" s="125"/>
    </row>
    <row r="382" spans="25:38" x14ac:dyDescent="0.25">
      <c r="Y382" s="139"/>
      <c r="Z382" s="140"/>
      <c r="AA382" s="125"/>
      <c r="AB382" s="125"/>
      <c r="AC382" s="125"/>
      <c r="AD382" s="125"/>
      <c r="AE382" s="125"/>
      <c r="AF382" s="125"/>
      <c r="AG382" s="125"/>
      <c r="AH382" s="125"/>
      <c r="AI382" s="125"/>
      <c r="AJ382" s="125"/>
      <c r="AK382" s="125"/>
      <c r="AL382" s="125"/>
    </row>
    <row r="383" spans="25:38" x14ac:dyDescent="0.25">
      <c r="Y383" s="139"/>
      <c r="Z383" s="140"/>
      <c r="AA383" s="125"/>
      <c r="AB383" s="125"/>
      <c r="AC383" s="125"/>
      <c r="AD383" s="125"/>
      <c r="AE383" s="125"/>
      <c r="AF383" s="125"/>
      <c r="AG383" s="125"/>
      <c r="AH383" s="125"/>
      <c r="AI383" s="125"/>
      <c r="AJ383" s="125"/>
      <c r="AK383" s="125"/>
      <c r="AL383" s="125"/>
    </row>
    <row r="384" spans="25:38" x14ac:dyDescent="0.25">
      <c r="Y384" s="139"/>
      <c r="Z384" s="140"/>
      <c r="AA384" s="125"/>
      <c r="AB384" s="125"/>
      <c r="AC384" s="125"/>
      <c r="AD384" s="125"/>
      <c r="AE384" s="125"/>
      <c r="AF384" s="125"/>
      <c r="AG384" s="125"/>
      <c r="AH384" s="125"/>
      <c r="AI384" s="125"/>
      <c r="AJ384" s="125"/>
      <c r="AK384" s="125"/>
      <c r="AL384" s="125"/>
    </row>
    <row r="385" spans="25:38" x14ac:dyDescent="0.25">
      <c r="Y385" s="139"/>
      <c r="Z385" s="140"/>
      <c r="AA385" s="125"/>
      <c r="AB385" s="125"/>
      <c r="AC385" s="125"/>
      <c r="AD385" s="125"/>
      <c r="AE385" s="125"/>
      <c r="AF385" s="125"/>
      <c r="AG385" s="125"/>
      <c r="AH385" s="125"/>
      <c r="AI385" s="125"/>
      <c r="AJ385" s="125"/>
      <c r="AK385" s="125"/>
      <c r="AL385" s="125"/>
    </row>
    <row r="386" spans="25:38" x14ac:dyDescent="0.25">
      <c r="Y386" s="139"/>
      <c r="Z386" s="140"/>
      <c r="AA386" s="125"/>
      <c r="AB386" s="125"/>
      <c r="AC386" s="125"/>
      <c r="AD386" s="125"/>
      <c r="AE386" s="125"/>
      <c r="AF386" s="125"/>
      <c r="AG386" s="125"/>
      <c r="AH386" s="125"/>
      <c r="AI386" s="125"/>
      <c r="AJ386" s="125"/>
      <c r="AK386" s="125"/>
      <c r="AL386" s="125"/>
    </row>
    <row r="387" spans="25:38" x14ac:dyDescent="0.25">
      <c r="Y387" s="139"/>
      <c r="Z387" s="140"/>
      <c r="AA387" s="125"/>
      <c r="AB387" s="125"/>
      <c r="AC387" s="125"/>
      <c r="AD387" s="125"/>
      <c r="AE387" s="125"/>
      <c r="AF387" s="125"/>
      <c r="AG387" s="125"/>
      <c r="AH387" s="125"/>
      <c r="AI387" s="125"/>
      <c r="AJ387" s="125"/>
      <c r="AK387" s="125"/>
      <c r="AL387" s="125"/>
    </row>
    <row r="388" spans="25:38" x14ac:dyDescent="0.25">
      <c r="Y388" s="139"/>
      <c r="Z388" s="140"/>
      <c r="AA388" s="125"/>
      <c r="AB388" s="125"/>
      <c r="AC388" s="125"/>
      <c r="AD388" s="125"/>
      <c r="AE388" s="125"/>
      <c r="AF388" s="125"/>
      <c r="AG388" s="125"/>
      <c r="AH388" s="125"/>
      <c r="AI388" s="125"/>
      <c r="AJ388" s="125"/>
      <c r="AK388" s="125"/>
      <c r="AL388" s="125"/>
    </row>
    <row r="389" spans="25:38" x14ac:dyDescent="0.25">
      <c r="Y389" s="139"/>
      <c r="Z389" s="140"/>
      <c r="AA389" s="125"/>
      <c r="AB389" s="125"/>
      <c r="AC389" s="125"/>
      <c r="AD389" s="125"/>
      <c r="AE389" s="125"/>
      <c r="AF389" s="125"/>
      <c r="AG389" s="125"/>
      <c r="AH389" s="125"/>
      <c r="AI389" s="125"/>
      <c r="AJ389" s="125"/>
      <c r="AK389" s="125"/>
      <c r="AL389" s="125"/>
    </row>
    <row r="390" spans="25:38" x14ac:dyDescent="0.25">
      <c r="Y390" s="139"/>
      <c r="Z390" s="140"/>
      <c r="AA390" s="125"/>
      <c r="AB390" s="125"/>
      <c r="AC390" s="125"/>
      <c r="AD390" s="125"/>
      <c r="AE390" s="125"/>
      <c r="AF390" s="125"/>
      <c r="AG390" s="125"/>
      <c r="AH390" s="125"/>
      <c r="AI390" s="125"/>
      <c r="AJ390" s="125"/>
      <c r="AK390" s="125"/>
      <c r="AL390" s="125"/>
    </row>
    <row r="391" spans="25:38" x14ac:dyDescent="0.25">
      <c r="Y391" s="139"/>
      <c r="Z391" s="140"/>
      <c r="AA391" s="125"/>
      <c r="AB391" s="125"/>
      <c r="AC391" s="125"/>
      <c r="AD391" s="125"/>
      <c r="AE391" s="125"/>
      <c r="AF391" s="125"/>
      <c r="AG391" s="125"/>
      <c r="AH391" s="125"/>
      <c r="AI391" s="125"/>
      <c r="AJ391" s="125"/>
      <c r="AK391" s="125"/>
      <c r="AL391" s="125"/>
    </row>
    <row r="392" spans="25:38" x14ac:dyDescent="0.25">
      <c r="Y392" s="139"/>
      <c r="Z392" s="140"/>
      <c r="AA392" s="125"/>
      <c r="AB392" s="125"/>
      <c r="AC392" s="125"/>
      <c r="AD392" s="125"/>
      <c r="AE392" s="125"/>
      <c r="AF392" s="125"/>
      <c r="AG392" s="125"/>
      <c r="AH392" s="125"/>
      <c r="AI392" s="125"/>
      <c r="AJ392" s="125"/>
      <c r="AK392" s="125"/>
      <c r="AL392" s="125"/>
    </row>
    <row r="393" spans="25:38" x14ac:dyDescent="0.25">
      <c r="Y393" s="141"/>
      <c r="Z393" s="142"/>
      <c r="AA393" s="125"/>
      <c r="AB393" s="125"/>
      <c r="AC393" s="125"/>
      <c r="AD393" s="125"/>
      <c r="AE393" s="125"/>
      <c r="AF393" s="125"/>
      <c r="AG393" s="125"/>
      <c r="AH393" s="125"/>
      <c r="AI393" s="125"/>
      <c r="AJ393" s="125"/>
      <c r="AK393" s="125"/>
      <c r="AL393" s="125"/>
    </row>
    <row r="394" spans="25:38" x14ac:dyDescent="0.25">
      <c r="Y394" s="143"/>
      <c r="Z394" s="144"/>
      <c r="AA394" s="126"/>
      <c r="AB394" s="126"/>
      <c r="AC394" s="126"/>
      <c r="AD394" s="126"/>
      <c r="AE394" s="126"/>
      <c r="AF394" s="126"/>
      <c r="AG394" s="126"/>
      <c r="AH394" s="126"/>
      <c r="AI394" s="126"/>
      <c r="AJ394" s="126"/>
      <c r="AK394" s="126"/>
      <c r="AL394" s="126"/>
    </row>
    <row r="395" spans="25:38" x14ac:dyDescent="0.25">
      <c r="Y395" s="145"/>
      <c r="Z395" s="146"/>
      <c r="AA395" s="126"/>
      <c r="AB395" s="126"/>
      <c r="AC395" s="126"/>
      <c r="AD395" s="126"/>
      <c r="AE395" s="126"/>
      <c r="AF395" s="126"/>
      <c r="AG395" s="126"/>
      <c r="AH395" s="126"/>
      <c r="AI395" s="126"/>
      <c r="AJ395" s="126"/>
      <c r="AK395" s="126"/>
      <c r="AL395" s="126"/>
    </row>
    <row r="396" spans="25:38" x14ac:dyDescent="0.25">
      <c r="Y396" s="145"/>
      <c r="Z396" s="146"/>
      <c r="AA396" s="126"/>
      <c r="AB396" s="126"/>
      <c r="AC396" s="126"/>
      <c r="AD396" s="126"/>
      <c r="AE396" s="126"/>
      <c r="AF396" s="126"/>
      <c r="AG396" s="126"/>
      <c r="AH396" s="126"/>
      <c r="AI396" s="126"/>
      <c r="AJ396" s="126"/>
      <c r="AK396" s="126"/>
      <c r="AL396" s="126"/>
    </row>
    <row r="397" spans="25:38" x14ac:dyDescent="0.25">
      <c r="Y397" s="145"/>
      <c r="Z397" s="146"/>
      <c r="AA397" s="126"/>
      <c r="AB397" s="126"/>
      <c r="AC397" s="126"/>
      <c r="AD397" s="126"/>
      <c r="AE397" s="126"/>
      <c r="AF397" s="126"/>
      <c r="AG397" s="126"/>
      <c r="AH397" s="126"/>
      <c r="AI397" s="126"/>
      <c r="AJ397" s="126"/>
      <c r="AK397" s="126"/>
      <c r="AL397" s="126"/>
    </row>
    <row r="398" spans="25:38" x14ac:dyDescent="0.25">
      <c r="Y398" s="145"/>
      <c r="Z398" s="146"/>
      <c r="AA398" s="126"/>
      <c r="AB398" s="126"/>
      <c r="AC398" s="126"/>
      <c r="AD398" s="126"/>
      <c r="AE398" s="126"/>
      <c r="AF398" s="126"/>
      <c r="AG398" s="126"/>
      <c r="AH398" s="126"/>
      <c r="AI398" s="126"/>
      <c r="AJ398" s="126"/>
      <c r="AK398" s="126"/>
      <c r="AL398" s="126"/>
    </row>
    <row r="399" spans="25:38" x14ac:dyDescent="0.25">
      <c r="Y399" s="145"/>
      <c r="Z399" s="146"/>
      <c r="AA399" s="126"/>
      <c r="AB399" s="126"/>
      <c r="AC399" s="126"/>
      <c r="AD399" s="126"/>
      <c r="AE399" s="126"/>
      <c r="AF399" s="126"/>
      <c r="AG399" s="126"/>
      <c r="AH399" s="126"/>
      <c r="AI399" s="126"/>
      <c r="AJ399" s="126"/>
      <c r="AK399" s="126"/>
      <c r="AL399" s="126"/>
    </row>
    <row r="400" spans="25:38" x14ac:dyDescent="0.25">
      <c r="Y400" s="145"/>
      <c r="Z400" s="146"/>
      <c r="AA400" s="126"/>
      <c r="AB400" s="126"/>
      <c r="AC400" s="126"/>
      <c r="AD400" s="126"/>
      <c r="AE400" s="126"/>
      <c r="AF400" s="126"/>
      <c r="AG400" s="126"/>
      <c r="AH400" s="126"/>
      <c r="AI400" s="126"/>
      <c r="AJ400" s="126"/>
      <c r="AK400" s="126"/>
      <c r="AL400" s="126"/>
    </row>
    <row r="401" spans="25:38" x14ac:dyDescent="0.25">
      <c r="Y401" s="145"/>
      <c r="Z401" s="146"/>
      <c r="AA401" s="126"/>
      <c r="AB401" s="126"/>
      <c r="AC401" s="126"/>
      <c r="AD401" s="126"/>
      <c r="AE401" s="126"/>
      <c r="AF401" s="126"/>
      <c r="AG401" s="126"/>
      <c r="AH401" s="126"/>
      <c r="AI401" s="126"/>
      <c r="AJ401" s="126"/>
      <c r="AK401" s="126"/>
      <c r="AL401" s="126"/>
    </row>
    <row r="402" spans="25:38" x14ac:dyDescent="0.25">
      <c r="Y402" s="145"/>
      <c r="Z402" s="146"/>
      <c r="AA402" s="126"/>
      <c r="AB402" s="126"/>
      <c r="AC402" s="126"/>
      <c r="AD402" s="126"/>
      <c r="AE402" s="126"/>
      <c r="AF402" s="126"/>
      <c r="AG402" s="126"/>
      <c r="AH402" s="126"/>
      <c r="AI402" s="126"/>
      <c r="AJ402" s="126"/>
      <c r="AK402" s="126"/>
      <c r="AL402" s="126"/>
    </row>
    <row r="403" spans="25:38" x14ac:dyDescent="0.25">
      <c r="Y403" s="145"/>
      <c r="Z403" s="146"/>
      <c r="AA403" s="126"/>
      <c r="AB403" s="126"/>
      <c r="AC403" s="126"/>
      <c r="AD403" s="126"/>
      <c r="AE403" s="126"/>
      <c r="AF403" s="126"/>
      <c r="AG403" s="126"/>
      <c r="AH403" s="126"/>
      <c r="AI403" s="126"/>
      <c r="AJ403" s="126"/>
      <c r="AK403" s="126"/>
      <c r="AL403" s="126"/>
    </row>
    <row r="404" spans="25:38" x14ac:dyDescent="0.25">
      <c r="Y404" s="145"/>
      <c r="Z404" s="146"/>
      <c r="AA404" s="126"/>
      <c r="AB404" s="126"/>
      <c r="AC404" s="126"/>
      <c r="AD404" s="126"/>
      <c r="AE404" s="126"/>
      <c r="AF404" s="126"/>
      <c r="AG404" s="126"/>
      <c r="AH404" s="126"/>
      <c r="AI404" s="126"/>
      <c r="AJ404" s="126"/>
      <c r="AK404" s="126"/>
      <c r="AL404" s="126"/>
    </row>
    <row r="405" spans="25:38" x14ac:dyDescent="0.25">
      <c r="Y405" s="145"/>
      <c r="Z405" s="146"/>
      <c r="AA405" s="126"/>
      <c r="AB405" s="126"/>
      <c r="AC405" s="126"/>
      <c r="AD405" s="126"/>
      <c r="AE405" s="126"/>
      <c r="AF405" s="126"/>
      <c r="AG405" s="126"/>
      <c r="AH405" s="126"/>
      <c r="AI405" s="126"/>
      <c r="AJ405" s="126"/>
      <c r="AK405" s="126"/>
      <c r="AL405" s="126"/>
    </row>
    <row r="406" spans="25:38" x14ac:dyDescent="0.25">
      <c r="Y406" s="145"/>
      <c r="Z406" s="146"/>
      <c r="AA406" s="126"/>
      <c r="AB406" s="126"/>
      <c r="AC406" s="126"/>
      <c r="AD406" s="126"/>
      <c r="AE406" s="126"/>
      <c r="AF406" s="126"/>
      <c r="AG406" s="126"/>
      <c r="AH406" s="126"/>
      <c r="AI406" s="126"/>
      <c r="AJ406" s="126"/>
      <c r="AK406" s="126"/>
      <c r="AL406" s="126"/>
    </row>
    <row r="407" spans="25:38" x14ac:dyDescent="0.25">
      <c r="Y407" s="145"/>
      <c r="Z407" s="146"/>
      <c r="AA407" s="126"/>
      <c r="AB407" s="126"/>
      <c r="AC407" s="126"/>
      <c r="AD407" s="126"/>
      <c r="AE407" s="126"/>
      <c r="AF407" s="126"/>
      <c r="AG407" s="126"/>
      <c r="AH407" s="126"/>
      <c r="AI407" s="126"/>
      <c r="AJ407" s="126"/>
      <c r="AK407" s="126"/>
      <c r="AL407" s="126"/>
    </row>
    <row r="408" spans="25:38" x14ac:dyDescent="0.25">
      <c r="Y408" s="145"/>
      <c r="Z408" s="146"/>
      <c r="AA408" s="126"/>
      <c r="AB408" s="126"/>
      <c r="AC408" s="126"/>
      <c r="AD408" s="126"/>
      <c r="AE408" s="126"/>
      <c r="AF408" s="126"/>
      <c r="AG408" s="126"/>
      <c r="AH408" s="126"/>
      <c r="AI408" s="126"/>
      <c r="AJ408" s="126"/>
      <c r="AK408" s="126"/>
      <c r="AL408" s="126"/>
    </row>
    <row r="409" spans="25:38" x14ac:dyDescent="0.25">
      <c r="Y409" s="145"/>
      <c r="Z409" s="146"/>
      <c r="AA409" s="126"/>
      <c r="AB409" s="126"/>
      <c r="AC409" s="126"/>
      <c r="AD409" s="126"/>
      <c r="AE409" s="126"/>
      <c r="AF409" s="126"/>
      <c r="AG409" s="126"/>
      <c r="AH409" s="126"/>
      <c r="AI409" s="126"/>
      <c r="AJ409" s="126"/>
      <c r="AK409" s="126"/>
      <c r="AL409" s="126"/>
    </row>
    <row r="410" spans="25:38" x14ac:dyDescent="0.25">
      <c r="Y410" s="145"/>
      <c r="Z410" s="146"/>
      <c r="AA410" s="126"/>
      <c r="AB410" s="126"/>
      <c r="AC410" s="126"/>
      <c r="AD410" s="126"/>
      <c r="AE410" s="126"/>
      <c r="AF410" s="126"/>
      <c r="AG410" s="126"/>
      <c r="AH410" s="126"/>
      <c r="AI410" s="126"/>
      <c r="AJ410" s="126"/>
      <c r="AK410" s="126"/>
      <c r="AL410" s="126"/>
    </row>
    <row r="411" spans="25:38" x14ac:dyDescent="0.25">
      <c r="Y411" s="145"/>
      <c r="Z411" s="146"/>
      <c r="AA411" s="126"/>
      <c r="AB411" s="126"/>
      <c r="AC411" s="126"/>
      <c r="AD411" s="126"/>
      <c r="AE411" s="126"/>
      <c r="AF411" s="126"/>
      <c r="AG411" s="126"/>
      <c r="AH411" s="126"/>
      <c r="AI411" s="126"/>
      <c r="AJ411" s="126"/>
      <c r="AK411" s="126"/>
      <c r="AL411" s="126"/>
    </row>
    <row r="412" spans="25:38" x14ac:dyDescent="0.25">
      <c r="Y412" s="145"/>
      <c r="Z412" s="146"/>
      <c r="AA412" s="126"/>
      <c r="AB412" s="126"/>
      <c r="AC412" s="126"/>
      <c r="AD412" s="126"/>
      <c r="AE412" s="126"/>
      <c r="AF412" s="126"/>
      <c r="AG412" s="126"/>
      <c r="AH412" s="126"/>
      <c r="AI412" s="126"/>
      <c r="AJ412" s="126"/>
      <c r="AK412" s="126"/>
      <c r="AL412" s="126"/>
    </row>
    <row r="413" spans="25:38" x14ac:dyDescent="0.25">
      <c r="Y413" s="145"/>
      <c r="Z413" s="146"/>
      <c r="AA413" s="126"/>
      <c r="AB413" s="126"/>
      <c r="AC413" s="126"/>
      <c r="AD413" s="126"/>
      <c r="AE413" s="126"/>
      <c r="AF413" s="126"/>
      <c r="AG413" s="126"/>
      <c r="AH413" s="126"/>
      <c r="AI413" s="126"/>
      <c r="AJ413" s="126"/>
      <c r="AK413" s="126"/>
      <c r="AL413" s="126"/>
    </row>
    <row r="414" spans="25:38" x14ac:dyDescent="0.25">
      <c r="Y414" s="145"/>
      <c r="Z414" s="146"/>
      <c r="AA414" s="126"/>
      <c r="AB414" s="126"/>
      <c r="AC414" s="126"/>
      <c r="AD414" s="126"/>
      <c r="AE414" s="126"/>
      <c r="AF414" s="126"/>
      <c r="AG414" s="126"/>
      <c r="AH414" s="126"/>
      <c r="AI414" s="126"/>
      <c r="AJ414" s="126"/>
      <c r="AK414" s="126"/>
      <c r="AL414" s="126"/>
    </row>
    <row r="415" spans="25:38" x14ac:dyDescent="0.25">
      <c r="Y415" s="145"/>
      <c r="Z415" s="146"/>
      <c r="AA415" s="126"/>
      <c r="AB415" s="126"/>
      <c r="AC415" s="126"/>
      <c r="AD415" s="126"/>
      <c r="AE415" s="126"/>
      <c r="AF415" s="126"/>
      <c r="AG415" s="126"/>
      <c r="AH415" s="126"/>
      <c r="AI415" s="126"/>
      <c r="AJ415" s="126"/>
      <c r="AK415" s="126"/>
      <c r="AL415" s="126"/>
    </row>
    <row r="416" spans="25:38" x14ac:dyDescent="0.25">
      <c r="Y416" s="145"/>
      <c r="Z416" s="146"/>
      <c r="AA416" s="126"/>
      <c r="AB416" s="126"/>
      <c r="AC416" s="126"/>
      <c r="AD416" s="126"/>
      <c r="AE416" s="126"/>
      <c r="AF416" s="126"/>
      <c r="AG416" s="126"/>
      <c r="AH416" s="126"/>
      <c r="AI416" s="126"/>
      <c r="AJ416" s="126"/>
      <c r="AK416" s="126"/>
      <c r="AL416" s="126"/>
    </row>
    <row r="417" spans="25:38" x14ac:dyDescent="0.25">
      <c r="Y417" s="145"/>
      <c r="Z417" s="146"/>
      <c r="AA417" s="126"/>
      <c r="AB417" s="126"/>
      <c r="AC417" s="126"/>
      <c r="AD417" s="126"/>
      <c r="AE417" s="126"/>
      <c r="AF417" s="126"/>
      <c r="AG417" s="126"/>
      <c r="AH417" s="126"/>
      <c r="AI417" s="126"/>
      <c r="AJ417" s="126"/>
      <c r="AK417" s="126"/>
      <c r="AL417" s="126"/>
    </row>
    <row r="418" spans="25:38" x14ac:dyDescent="0.25">
      <c r="Y418" s="145"/>
      <c r="Z418" s="146"/>
      <c r="AA418" s="126"/>
      <c r="AB418" s="126"/>
      <c r="AC418" s="126"/>
      <c r="AD418" s="126"/>
      <c r="AE418" s="126"/>
      <c r="AF418" s="126"/>
      <c r="AG418" s="126"/>
      <c r="AH418" s="126"/>
      <c r="AI418" s="126"/>
      <c r="AJ418" s="126"/>
      <c r="AK418" s="126"/>
      <c r="AL418" s="126"/>
    </row>
    <row r="419" spans="25:38" x14ac:dyDescent="0.25">
      <c r="Y419" s="145"/>
      <c r="Z419" s="146"/>
      <c r="AA419" s="126"/>
      <c r="AB419" s="126"/>
      <c r="AC419" s="126"/>
      <c r="AD419" s="126"/>
      <c r="AE419" s="126"/>
      <c r="AF419" s="126"/>
      <c r="AG419" s="126"/>
      <c r="AH419" s="126"/>
      <c r="AI419" s="126"/>
      <c r="AJ419" s="126"/>
      <c r="AK419" s="126"/>
      <c r="AL419" s="126"/>
    </row>
    <row r="420" spans="25:38" x14ac:dyDescent="0.25">
      <c r="Y420" s="145"/>
      <c r="Z420" s="146"/>
      <c r="AA420" s="126"/>
      <c r="AB420" s="126"/>
      <c r="AC420" s="126"/>
      <c r="AD420" s="126"/>
      <c r="AE420" s="126"/>
      <c r="AF420" s="126"/>
      <c r="AG420" s="126"/>
      <c r="AH420" s="126"/>
      <c r="AI420" s="126"/>
      <c r="AJ420" s="126"/>
      <c r="AK420" s="126"/>
      <c r="AL420" s="126"/>
    </row>
    <row r="421" spans="25:38" x14ac:dyDescent="0.25">
      <c r="Y421" s="145"/>
      <c r="Z421" s="146"/>
      <c r="AA421" s="126"/>
      <c r="AB421" s="126"/>
      <c r="AC421" s="126"/>
      <c r="AD421" s="126"/>
      <c r="AE421" s="126"/>
      <c r="AF421" s="126"/>
      <c r="AG421" s="126"/>
      <c r="AH421" s="126"/>
      <c r="AI421" s="126"/>
      <c r="AJ421" s="126"/>
      <c r="AK421" s="126"/>
      <c r="AL421" s="126"/>
    </row>
    <row r="422" spans="25:38" x14ac:dyDescent="0.25">
      <c r="Y422" s="145"/>
      <c r="Z422" s="146"/>
      <c r="AA422" s="126"/>
      <c r="AB422" s="126"/>
      <c r="AC422" s="126"/>
      <c r="AD422" s="126"/>
      <c r="AE422" s="126"/>
      <c r="AF422" s="126"/>
      <c r="AG422" s="126"/>
      <c r="AH422" s="126"/>
      <c r="AI422" s="126"/>
      <c r="AJ422" s="126"/>
      <c r="AK422" s="126"/>
      <c r="AL422" s="126"/>
    </row>
    <row r="423" spans="25:38" x14ac:dyDescent="0.25">
      <c r="Y423" s="147"/>
      <c r="Z423" s="148"/>
      <c r="AA423" s="126"/>
      <c r="AB423" s="126"/>
      <c r="AC423" s="126"/>
      <c r="AD423" s="126"/>
      <c r="AE423" s="126"/>
      <c r="AF423" s="126"/>
      <c r="AG423" s="126"/>
      <c r="AH423" s="126"/>
      <c r="AI423" s="126"/>
      <c r="AJ423" s="126"/>
      <c r="AK423" s="126"/>
      <c r="AL423" s="126"/>
    </row>
    <row r="424" spans="25:38" x14ac:dyDescent="0.25">
      <c r="Y424" s="137"/>
      <c r="Z424" s="138"/>
      <c r="AA424" s="125"/>
      <c r="AB424" s="125"/>
      <c r="AC424" s="125"/>
      <c r="AD424" s="125"/>
      <c r="AE424" s="125"/>
      <c r="AF424" s="125"/>
      <c r="AG424" s="125"/>
      <c r="AH424" s="125"/>
      <c r="AI424" s="125"/>
      <c r="AJ424" s="125"/>
      <c r="AK424" s="125"/>
      <c r="AL424" s="125"/>
    </row>
    <row r="425" spans="25:38" x14ac:dyDescent="0.25">
      <c r="Y425" s="139"/>
      <c r="Z425" s="140"/>
      <c r="AA425" s="125"/>
      <c r="AB425" s="125"/>
      <c r="AC425" s="125"/>
      <c r="AD425" s="125"/>
      <c r="AE425" s="125"/>
      <c r="AF425" s="125"/>
      <c r="AG425" s="125"/>
      <c r="AH425" s="125"/>
      <c r="AI425" s="125"/>
      <c r="AJ425" s="125"/>
      <c r="AK425" s="125"/>
      <c r="AL425" s="125"/>
    </row>
    <row r="426" spans="25:38" x14ac:dyDescent="0.25">
      <c r="Y426" s="139"/>
      <c r="Z426" s="140"/>
      <c r="AA426" s="125"/>
      <c r="AB426" s="125"/>
      <c r="AC426" s="125"/>
      <c r="AD426" s="125"/>
      <c r="AE426" s="125"/>
      <c r="AF426" s="125"/>
      <c r="AG426" s="125"/>
      <c r="AH426" s="125"/>
      <c r="AI426" s="125"/>
      <c r="AJ426" s="125"/>
      <c r="AK426" s="125"/>
      <c r="AL426" s="125"/>
    </row>
    <row r="427" spans="25:38" x14ac:dyDescent="0.25">
      <c r="Y427" s="139"/>
      <c r="Z427" s="140"/>
      <c r="AA427" s="125"/>
      <c r="AB427" s="125"/>
      <c r="AC427" s="125"/>
      <c r="AD427" s="125"/>
      <c r="AE427" s="125"/>
      <c r="AF427" s="125"/>
      <c r="AG427" s="125"/>
      <c r="AH427" s="125"/>
      <c r="AI427" s="125"/>
      <c r="AJ427" s="125"/>
      <c r="AK427" s="125"/>
      <c r="AL427" s="125"/>
    </row>
    <row r="428" spans="25:38" x14ac:dyDescent="0.25">
      <c r="Y428" s="139"/>
      <c r="Z428" s="140"/>
      <c r="AA428" s="125"/>
      <c r="AB428" s="125"/>
      <c r="AC428" s="125"/>
      <c r="AD428" s="125"/>
      <c r="AE428" s="125"/>
      <c r="AF428" s="125"/>
      <c r="AG428" s="125"/>
      <c r="AH428" s="125"/>
      <c r="AI428" s="125"/>
      <c r="AJ428" s="125"/>
      <c r="AK428" s="125"/>
      <c r="AL428" s="125"/>
    </row>
    <row r="429" spans="25:38" x14ac:dyDescent="0.25">
      <c r="Y429" s="139"/>
      <c r="Z429" s="140"/>
      <c r="AA429" s="125"/>
      <c r="AB429" s="125"/>
      <c r="AC429" s="125"/>
      <c r="AD429" s="125"/>
      <c r="AE429" s="125"/>
      <c r="AF429" s="125"/>
      <c r="AG429" s="125"/>
      <c r="AH429" s="125"/>
      <c r="AI429" s="125"/>
      <c r="AJ429" s="125"/>
      <c r="AK429" s="125"/>
      <c r="AL429" s="125"/>
    </row>
    <row r="430" spans="25:38" x14ac:dyDescent="0.25">
      <c r="Y430" s="139"/>
      <c r="Z430" s="140"/>
      <c r="AA430" s="125"/>
      <c r="AB430" s="125"/>
      <c r="AC430" s="125"/>
      <c r="AD430" s="125"/>
      <c r="AE430" s="125"/>
      <c r="AF430" s="125"/>
      <c r="AG430" s="125"/>
      <c r="AH430" s="125"/>
      <c r="AI430" s="125"/>
      <c r="AJ430" s="125"/>
      <c r="AK430" s="125"/>
      <c r="AL430" s="125"/>
    </row>
    <row r="431" spans="25:38" x14ac:dyDescent="0.25">
      <c r="Y431" s="139"/>
      <c r="Z431" s="140"/>
      <c r="AA431" s="125"/>
      <c r="AB431" s="125"/>
      <c r="AC431" s="125"/>
      <c r="AD431" s="125"/>
      <c r="AE431" s="125"/>
      <c r="AF431" s="125"/>
      <c r="AG431" s="125"/>
      <c r="AH431" s="125"/>
      <c r="AI431" s="125"/>
      <c r="AJ431" s="125"/>
      <c r="AK431" s="125"/>
      <c r="AL431" s="125"/>
    </row>
    <row r="432" spans="25:38" x14ac:dyDescent="0.25">
      <c r="Y432" s="139"/>
      <c r="Z432" s="140"/>
      <c r="AA432" s="125"/>
      <c r="AB432" s="125"/>
      <c r="AC432" s="125"/>
      <c r="AD432" s="125"/>
      <c r="AE432" s="125"/>
      <c r="AF432" s="125"/>
      <c r="AG432" s="125"/>
      <c r="AH432" s="125"/>
      <c r="AI432" s="125"/>
      <c r="AJ432" s="125"/>
      <c r="AK432" s="125"/>
      <c r="AL432" s="125"/>
    </row>
    <row r="433" spans="25:38" x14ac:dyDescent="0.25">
      <c r="Y433" s="139"/>
      <c r="Z433" s="140"/>
      <c r="AA433" s="125"/>
      <c r="AB433" s="125"/>
      <c r="AC433" s="125"/>
      <c r="AD433" s="125"/>
      <c r="AE433" s="125"/>
      <c r="AF433" s="125"/>
      <c r="AG433" s="125"/>
      <c r="AH433" s="125"/>
      <c r="AI433" s="125"/>
      <c r="AJ433" s="125"/>
      <c r="AK433" s="125"/>
      <c r="AL433" s="125"/>
    </row>
    <row r="434" spans="25:38" x14ac:dyDescent="0.25">
      <c r="Y434" s="139"/>
      <c r="Z434" s="140"/>
      <c r="AA434" s="125"/>
      <c r="AB434" s="125"/>
      <c r="AC434" s="125"/>
      <c r="AD434" s="125"/>
      <c r="AE434" s="125"/>
      <c r="AF434" s="125"/>
      <c r="AG434" s="125"/>
      <c r="AH434" s="125"/>
      <c r="AI434" s="125"/>
      <c r="AJ434" s="125"/>
      <c r="AK434" s="125"/>
      <c r="AL434" s="125"/>
    </row>
    <row r="435" spans="25:38" x14ac:dyDescent="0.25">
      <c r="Y435" s="139"/>
      <c r="Z435" s="140"/>
      <c r="AA435" s="125"/>
      <c r="AB435" s="125"/>
      <c r="AC435" s="125"/>
      <c r="AD435" s="125"/>
      <c r="AE435" s="125"/>
      <c r="AF435" s="125"/>
      <c r="AG435" s="125"/>
      <c r="AH435" s="125"/>
      <c r="AI435" s="125"/>
      <c r="AJ435" s="125"/>
      <c r="AK435" s="125"/>
      <c r="AL435" s="125"/>
    </row>
    <row r="436" spans="25:38" x14ac:dyDescent="0.25">
      <c r="Y436" s="139"/>
      <c r="Z436" s="140"/>
      <c r="AA436" s="125"/>
      <c r="AB436" s="125"/>
      <c r="AC436" s="125"/>
      <c r="AD436" s="125"/>
      <c r="AE436" s="125"/>
      <c r="AF436" s="125"/>
      <c r="AG436" s="125"/>
      <c r="AH436" s="125"/>
      <c r="AI436" s="125"/>
      <c r="AJ436" s="125"/>
      <c r="AK436" s="125"/>
      <c r="AL436" s="125"/>
    </row>
    <row r="437" spans="25:38" x14ac:dyDescent="0.25">
      <c r="Y437" s="139"/>
      <c r="Z437" s="140"/>
      <c r="AA437" s="125"/>
      <c r="AB437" s="125"/>
      <c r="AC437" s="125"/>
      <c r="AD437" s="125"/>
      <c r="AE437" s="125"/>
      <c r="AF437" s="125"/>
      <c r="AG437" s="125"/>
      <c r="AH437" s="125"/>
      <c r="AI437" s="125"/>
      <c r="AJ437" s="125"/>
      <c r="AK437" s="125"/>
      <c r="AL437" s="125"/>
    </row>
    <row r="438" spans="25:38" x14ac:dyDescent="0.25">
      <c r="Y438" s="139"/>
      <c r="Z438" s="140"/>
      <c r="AA438" s="125"/>
      <c r="AB438" s="125"/>
      <c r="AC438" s="125"/>
      <c r="AD438" s="125"/>
      <c r="AE438" s="125"/>
      <c r="AF438" s="125"/>
      <c r="AG438" s="125"/>
      <c r="AH438" s="125"/>
      <c r="AI438" s="125"/>
      <c r="AJ438" s="125"/>
      <c r="AK438" s="125"/>
      <c r="AL438" s="125"/>
    </row>
    <row r="439" spans="25:38" x14ac:dyDescent="0.25">
      <c r="Y439" s="139"/>
      <c r="Z439" s="140"/>
      <c r="AA439" s="125"/>
      <c r="AB439" s="125"/>
      <c r="AC439" s="125"/>
      <c r="AD439" s="125"/>
      <c r="AE439" s="125"/>
      <c r="AF439" s="125"/>
      <c r="AG439" s="125"/>
      <c r="AH439" s="125"/>
      <c r="AI439" s="125"/>
      <c r="AJ439" s="125"/>
      <c r="AK439" s="125"/>
      <c r="AL439" s="125"/>
    </row>
    <row r="440" spans="25:38" x14ac:dyDescent="0.25">
      <c r="Y440" s="139"/>
      <c r="Z440" s="140"/>
      <c r="AA440" s="125"/>
      <c r="AB440" s="125"/>
      <c r="AC440" s="125"/>
      <c r="AD440" s="125"/>
      <c r="AE440" s="125"/>
      <c r="AF440" s="125"/>
      <c r="AG440" s="125"/>
      <c r="AH440" s="125"/>
      <c r="AI440" s="125"/>
      <c r="AJ440" s="125"/>
      <c r="AK440" s="125"/>
      <c r="AL440" s="125"/>
    </row>
    <row r="441" spans="25:38" x14ac:dyDescent="0.25">
      <c r="Y441" s="139"/>
      <c r="Z441" s="140"/>
      <c r="AA441" s="125"/>
      <c r="AB441" s="125"/>
      <c r="AC441" s="125"/>
      <c r="AD441" s="125"/>
      <c r="AE441" s="125"/>
      <c r="AF441" s="125"/>
      <c r="AG441" s="125"/>
      <c r="AH441" s="125"/>
      <c r="AI441" s="125"/>
      <c r="AJ441" s="125"/>
      <c r="AK441" s="125"/>
      <c r="AL441" s="125"/>
    </row>
    <row r="442" spans="25:38" x14ac:dyDescent="0.25">
      <c r="Y442" s="139"/>
      <c r="Z442" s="140"/>
      <c r="AA442" s="125"/>
      <c r="AB442" s="125"/>
      <c r="AC442" s="125"/>
      <c r="AD442" s="125"/>
      <c r="AE442" s="125"/>
      <c r="AF442" s="125"/>
      <c r="AG442" s="125"/>
      <c r="AH442" s="125"/>
      <c r="AI442" s="125"/>
      <c r="AJ442" s="125"/>
      <c r="AK442" s="125"/>
      <c r="AL442" s="125"/>
    </row>
    <row r="443" spans="25:38" x14ac:dyDescent="0.25">
      <c r="Y443" s="139"/>
      <c r="Z443" s="140"/>
      <c r="AA443" s="125"/>
      <c r="AB443" s="125"/>
      <c r="AC443" s="125"/>
      <c r="AD443" s="125"/>
      <c r="AE443" s="125"/>
      <c r="AF443" s="125"/>
      <c r="AG443" s="125"/>
      <c r="AH443" s="125"/>
      <c r="AI443" s="125"/>
      <c r="AJ443" s="125"/>
      <c r="AK443" s="125"/>
      <c r="AL443" s="125"/>
    </row>
    <row r="444" spans="25:38" x14ac:dyDescent="0.25">
      <c r="Y444" s="139"/>
      <c r="Z444" s="140"/>
      <c r="AA444" s="125"/>
      <c r="AB444" s="125"/>
      <c r="AC444" s="125"/>
      <c r="AD444" s="125"/>
      <c r="AE444" s="125"/>
      <c r="AF444" s="125"/>
      <c r="AG444" s="125"/>
      <c r="AH444" s="125"/>
      <c r="AI444" s="125"/>
      <c r="AJ444" s="125"/>
      <c r="AK444" s="125"/>
      <c r="AL444" s="125"/>
    </row>
    <row r="445" spans="25:38" x14ac:dyDescent="0.25">
      <c r="Y445" s="139"/>
      <c r="Z445" s="140"/>
      <c r="AA445" s="125"/>
      <c r="AB445" s="125"/>
      <c r="AC445" s="125"/>
      <c r="AD445" s="125"/>
      <c r="AE445" s="125"/>
      <c r="AF445" s="125"/>
      <c r="AG445" s="125"/>
      <c r="AH445" s="125"/>
      <c r="AI445" s="125"/>
      <c r="AJ445" s="125"/>
      <c r="AK445" s="125"/>
      <c r="AL445" s="125"/>
    </row>
    <row r="446" spans="25:38" x14ac:dyDescent="0.25">
      <c r="Y446" s="139"/>
      <c r="Z446" s="140"/>
      <c r="AA446" s="125"/>
      <c r="AB446" s="125"/>
      <c r="AC446" s="125"/>
      <c r="AD446" s="125"/>
      <c r="AE446" s="125"/>
      <c r="AF446" s="125"/>
      <c r="AG446" s="125"/>
      <c r="AH446" s="125"/>
      <c r="AI446" s="125"/>
      <c r="AJ446" s="125"/>
      <c r="AK446" s="125"/>
      <c r="AL446" s="125"/>
    </row>
    <row r="447" spans="25:38" x14ac:dyDescent="0.25">
      <c r="Y447" s="139"/>
      <c r="Z447" s="140"/>
      <c r="AA447" s="125"/>
      <c r="AB447" s="125"/>
      <c r="AC447" s="125"/>
      <c r="AD447" s="125"/>
      <c r="AE447" s="125"/>
      <c r="AF447" s="125"/>
      <c r="AG447" s="125"/>
      <c r="AH447" s="125"/>
      <c r="AI447" s="125"/>
      <c r="AJ447" s="125"/>
      <c r="AK447" s="125"/>
      <c r="AL447" s="125"/>
    </row>
    <row r="448" spans="25:38" x14ac:dyDescent="0.25">
      <c r="Y448" s="139"/>
      <c r="Z448" s="140"/>
      <c r="AA448" s="125"/>
      <c r="AB448" s="125"/>
      <c r="AC448" s="125"/>
      <c r="AD448" s="125"/>
      <c r="AE448" s="125"/>
      <c r="AF448" s="125"/>
      <c r="AG448" s="125"/>
      <c r="AH448" s="125"/>
      <c r="AI448" s="125"/>
      <c r="AJ448" s="125"/>
      <c r="AK448" s="125"/>
      <c r="AL448" s="125"/>
    </row>
    <row r="449" spans="25:38" x14ac:dyDescent="0.25">
      <c r="Y449" s="139"/>
      <c r="Z449" s="140"/>
      <c r="AA449" s="125"/>
      <c r="AB449" s="125"/>
      <c r="AC449" s="125"/>
      <c r="AD449" s="125"/>
      <c r="AE449" s="125"/>
      <c r="AF449" s="125"/>
      <c r="AG449" s="125"/>
      <c r="AH449" s="125"/>
      <c r="AI449" s="125"/>
      <c r="AJ449" s="125"/>
      <c r="AK449" s="125"/>
      <c r="AL449" s="125"/>
    </row>
    <row r="450" spans="25:38" x14ac:dyDescent="0.25">
      <c r="Y450" s="139"/>
      <c r="Z450" s="140"/>
      <c r="AA450" s="125"/>
      <c r="AB450" s="125"/>
      <c r="AC450" s="125"/>
      <c r="AD450" s="125"/>
      <c r="AE450" s="125"/>
      <c r="AF450" s="125"/>
      <c r="AG450" s="125"/>
      <c r="AH450" s="125"/>
      <c r="AI450" s="125"/>
      <c r="AJ450" s="125"/>
      <c r="AK450" s="125"/>
      <c r="AL450" s="125"/>
    </row>
    <row r="451" spans="25:38" x14ac:dyDescent="0.25">
      <c r="Y451" s="139"/>
      <c r="Z451" s="140"/>
      <c r="AA451" s="125"/>
      <c r="AB451" s="125"/>
      <c r="AC451" s="125"/>
      <c r="AD451" s="125"/>
      <c r="AE451" s="125"/>
      <c r="AF451" s="125"/>
      <c r="AG451" s="125"/>
      <c r="AH451" s="125"/>
      <c r="AI451" s="125"/>
      <c r="AJ451" s="125"/>
      <c r="AK451" s="125"/>
      <c r="AL451" s="125"/>
    </row>
    <row r="452" spans="25:38" x14ac:dyDescent="0.25">
      <c r="Y452" s="139"/>
      <c r="Z452" s="140"/>
      <c r="AA452" s="125"/>
      <c r="AB452" s="125"/>
      <c r="AC452" s="125"/>
      <c r="AD452" s="125"/>
      <c r="AE452" s="125"/>
      <c r="AF452" s="125"/>
      <c r="AG452" s="125"/>
      <c r="AH452" s="125"/>
      <c r="AI452" s="125"/>
      <c r="AJ452" s="125"/>
      <c r="AK452" s="125"/>
      <c r="AL452" s="125"/>
    </row>
    <row r="453" spans="25:38" x14ac:dyDescent="0.25">
      <c r="Y453" s="141"/>
      <c r="Z453" s="142"/>
      <c r="AA453" s="125"/>
      <c r="AB453" s="125"/>
      <c r="AC453" s="125"/>
      <c r="AD453" s="125"/>
      <c r="AE453" s="125"/>
      <c r="AF453" s="125"/>
      <c r="AG453" s="125"/>
      <c r="AH453" s="125"/>
      <c r="AI453" s="125"/>
      <c r="AJ453" s="125"/>
      <c r="AK453" s="125"/>
      <c r="AL453" s="125"/>
    </row>
    <row r="454" spans="25:38" x14ac:dyDescent="0.25">
      <c r="Y454" s="143"/>
      <c r="Z454" s="144"/>
      <c r="AA454" s="126"/>
      <c r="AB454" s="126"/>
      <c r="AC454" s="126"/>
      <c r="AD454" s="126"/>
      <c r="AE454" s="126"/>
      <c r="AF454" s="126"/>
      <c r="AG454" s="126"/>
      <c r="AH454" s="126"/>
      <c r="AI454" s="126"/>
      <c r="AJ454" s="126"/>
      <c r="AK454" s="126"/>
      <c r="AL454" s="126"/>
    </row>
    <row r="455" spans="25:38" x14ac:dyDescent="0.25">
      <c r="Y455" s="145"/>
      <c r="Z455" s="146"/>
      <c r="AA455" s="126"/>
      <c r="AB455" s="126"/>
      <c r="AC455" s="126"/>
      <c r="AD455" s="126"/>
      <c r="AE455" s="126"/>
      <c r="AF455" s="126"/>
      <c r="AG455" s="126"/>
      <c r="AH455" s="126"/>
      <c r="AI455" s="126"/>
      <c r="AJ455" s="126"/>
      <c r="AK455" s="126"/>
      <c r="AL455" s="126"/>
    </row>
    <row r="456" spans="25:38" x14ac:dyDescent="0.25">
      <c r="Y456" s="145"/>
      <c r="Z456" s="146"/>
      <c r="AA456" s="126"/>
      <c r="AB456" s="126"/>
      <c r="AC456" s="126"/>
      <c r="AD456" s="126"/>
      <c r="AE456" s="126"/>
      <c r="AF456" s="126"/>
      <c r="AG456" s="126"/>
      <c r="AH456" s="126"/>
      <c r="AI456" s="126"/>
      <c r="AJ456" s="126"/>
      <c r="AK456" s="126"/>
      <c r="AL456" s="126"/>
    </row>
    <row r="457" spans="25:38" x14ac:dyDescent="0.25">
      <c r="Y457" s="145"/>
      <c r="Z457" s="146"/>
      <c r="AA457" s="126"/>
      <c r="AB457" s="126"/>
      <c r="AC457" s="126"/>
      <c r="AD457" s="126"/>
      <c r="AE457" s="126"/>
      <c r="AF457" s="126"/>
      <c r="AG457" s="126"/>
      <c r="AH457" s="126"/>
      <c r="AI457" s="126"/>
      <c r="AJ457" s="126"/>
      <c r="AK457" s="126"/>
      <c r="AL457" s="126"/>
    </row>
    <row r="458" spans="25:38" x14ac:dyDescent="0.25">
      <c r="Y458" s="145"/>
      <c r="Z458" s="146"/>
      <c r="AA458" s="126"/>
      <c r="AB458" s="126"/>
      <c r="AC458" s="126"/>
      <c r="AD458" s="126"/>
      <c r="AE458" s="126"/>
      <c r="AF458" s="126"/>
      <c r="AG458" s="126"/>
      <c r="AH458" s="126"/>
      <c r="AI458" s="126"/>
      <c r="AJ458" s="126"/>
      <c r="AK458" s="126"/>
      <c r="AL458" s="126"/>
    </row>
    <row r="459" spans="25:38" x14ac:dyDescent="0.25">
      <c r="Y459" s="145"/>
      <c r="Z459" s="146"/>
      <c r="AA459" s="126"/>
      <c r="AB459" s="126"/>
      <c r="AC459" s="126"/>
      <c r="AD459" s="126"/>
      <c r="AE459" s="126"/>
      <c r="AF459" s="126"/>
      <c r="AG459" s="126"/>
      <c r="AH459" s="126"/>
      <c r="AI459" s="126"/>
      <c r="AJ459" s="126"/>
      <c r="AK459" s="126"/>
      <c r="AL459" s="126"/>
    </row>
    <row r="460" spans="25:38" x14ac:dyDescent="0.25">
      <c r="Y460" s="145"/>
      <c r="Z460" s="146"/>
      <c r="AA460" s="126"/>
      <c r="AB460" s="126"/>
      <c r="AC460" s="126"/>
      <c r="AD460" s="126"/>
      <c r="AE460" s="126"/>
      <c r="AF460" s="126"/>
      <c r="AG460" s="126"/>
      <c r="AH460" s="126"/>
      <c r="AI460" s="126"/>
      <c r="AJ460" s="126"/>
      <c r="AK460" s="126"/>
      <c r="AL460" s="126"/>
    </row>
    <row r="461" spans="25:38" x14ac:dyDescent="0.25">
      <c r="Y461" s="145"/>
      <c r="Z461" s="146"/>
      <c r="AA461" s="126"/>
      <c r="AB461" s="126"/>
      <c r="AC461" s="126"/>
      <c r="AD461" s="126"/>
      <c r="AE461" s="126"/>
      <c r="AF461" s="126"/>
      <c r="AG461" s="126"/>
      <c r="AH461" s="126"/>
      <c r="AI461" s="126"/>
      <c r="AJ461" s="126"/>
      <c r="AK461" s="126"/>
      <c r="AL461" s="126"/>
    </row>
    <row r="462" spans="25:38" x14ac:dyDescent="0.25">
      <c r="Y462" s="145"/>
      <c r="Z462" s="146"/>
      <c r="AA462" s="126"/>
      <c r="AB462" s="126"/>
      <c r="AC462" s="126"/>
      <c r="AD462" s="126"/>
      <c r="AE462" s="126"/>
      <c r="AF462" s="126"/>
      <c r="AG462" s="126"/>
      <c r="AH462" s="126"/>
      <c r="AI462" s="126"/>
      <c r="AJ462" s="126"/>
      <c r="AK462" s="126"/>
      <c r="AL462" s="126"/>
    </row>
    <row r="463" spans="25:38" x14ac:dyDescent="0.25">
      <c r="Y463" s="145"/>
      <c r="Z463" s="146"/>
      <c r="AA463" s="126"/>
      <c r="AB463" s="126"/>
      <c r="AC463" s="126"/>
      <c r="AD463" s="126"/>
      <c r="AE463" s="126"/>
      <c r="AF463" s="126"/>
      <c r="AG463" s="126"/>
      <c r="AH463" s="126"/>
      <c r="AI463" s="126"/>
      <c r="AJ463" s="126"/>
      <c r="AK463" s="126"/>
      <c r="AL463" s="126"/>
    </row>
    <row r="464" spans="25:38" x14ac:dyDescent="0.25">
      <c r="Y464" s="145"/>
      <c r="Z464" s="146"/>
      <c r="AA464" s="126"/>
      <c r="AB464" s="126"/>
      <c r="AC464" s="126"/>
      <c r="AD464" s="126"/>
      <c r="AE464" s="126"/>
      <c r="AF464" s="126"/>
      <c r="AG464" s="126"/>
      <c r="AH464" s="126"/>
      <c r="AI464" s="126"/>
      <c r="AJ464" s="126"/>
      <c r="AK464" s="126"/>
      <c r="AL464" s="126"/>
    </row>
    <row r="465" spans="25:38" x14ac:dyDescent="0.25">
      <c r="Y465" s="145"/>
      <c r="Z465" s="146"/>
      <c r="AA465" s="126"/>
      <c r="AB465" s="126"/>
      <c r="AC465" s="126"/>
      <c r="AD465" s="126"/>
      <c r="AE465" s="126"/>
      <c r="AF465" s="126"/>
      <c r="AG465" s="126"/>
      <c r="AH465" s="126"/>
      <c r="AI465" s="126"/>
      <c r="AJ465" s="126"/>
      <c r="AK465" s="126"/>
      <c r="AL465" s="126"/>
    </row>
    <row r="466" spans="25:38" x14ac:dyDescent="0.25">
      <c r="Y466" s="145"/>
      <c r="Z466" s="146"/>
      <c r="AA466" s="126"/>
      <c r="AB466" s="126"/>
      <c r="AC466" s="126"/>
      <c r="AD466" s="126"/>
      <c r="AE466" s="126"/>
      <c r="AF466" s="126"/>
      <c r="AG466" s="126"/>
      <c r="AH466" s="126"/>
      <c r="AI466" s="126"/>
      <c r="AJ466" s="126"/>
      <c r="AK466" s="126"/>
      <c r="AL466" s="126"/>
    </row>
    <row r="467" spans="25:38" x14ac:dyDescent="0.25">
      <c r="Y467" s="145"/>
      <c r="Z467" s="146"/>
      <c r="AA467" s="126"/>
      <c r="AB467" s="126"/>
      <c r="AC467" s="126"/>
      <c r="AD467" s="126"/>
      <c r="AE467" s="126"/>
      <c r="AF467" s="126"/>
      <c r="AG467" s="126"/>
      <c r="AH467" s="126"/>
      <c r="AI467" s="126"/>
      <c r="AJ467" s="126"/>
      <c r="AK467" s="126"/>
      <c r="AL467" s="126"/>
    </row>
    <row r="468" spans="25:38" x14ac:dyDescent="0.25">
      <c r="Y468" s="145"/>
      <c r="Z468" s="146"/>
      <c r="AA468" s="126"/>
      <c r="AB468" s="126"/>
      <c r="AC468" s="126"/>
      <c r="AD468" s="126"/>
      <c r="AE468" s="126"/>
      <c r="AF468" s="126"/>
      <c r="AG468" s="126"/>
      <c r="AH468" s="126"/>
      <c r="AI468" s="126"/>
      <c r="AJ468" s="126"/>
      <c r="AK468" s="126"/>
      <c r="AL468" s="126"/>
    </row>
    <row r="469" spans="25:38" x14ac:dyDescent="0.25">
      <c r="Y469" s="145"/>
      <c r="Z469" s="146"/>
      <c r="AA469" s="126"/>
      <c r="AB469" s="126"/>
      <c r="AC469" s="126"/>
      <c r="AD469" s="126"/>
      <c r="AE469" s="126"/>
      <c r="AF469" s="126"/>
      <c r="AG469" s="126"/>
      <c r="AH469" s="126"/>
      <c r="AI469" s="126"/>
      <c r="AJ469" s="126"/>
      <c r="AK469" s="126"/>
      <c r="AL469" s="126"/>
    </row>
    <row r="470" spans="25:38" x14ac:dyDescent="0.25">
      <c r="Y470" s="145"/>
      <c r="Z470" s="146"/>
      <c r="AA470" s="126"/>
      <c r="AB470" s="126"/>
      <c r="AC470" s="126"/>
      <c r="AD470" s="126"/>
      <c r="AE470" s="126"/>
      <c r="AF470" s="126"/>
      <c r="AG470" s="126"/>
      <c r="AH470" s="126"/>
      <c r="AI470" s="126"/>
      <c r="AJ470" s="126"/>
      <c r="AK470" s="126"/>
      <c r="AL470" s="126"/>
    </row>
    <row r="471" spans="25:38" x14ac:dyDescent="0.25">
      <c r="Y471" s="145"/>
      <c r="Z471" s="146"/>
      <c r="AA471" s="126"/>
      <c r="AB471" s="126"/>
      <c r="AC471" s="126"/>
      <c r="AD471" s="126"/>
      <c r="AE471" s="126"/>
      <c r="AF471" s="126"/>
      <c r="AG471" s="126"/>
      <c r="AH471" s="126"/>
      <c r="AI471" s="126"/>
      <c r="AJ471" s="126"/>
      <c r="AK471" s="126"/>
      <c r="AL471" s="126"/>
    </row>
    <row r="472" spans="25:38" x14ac:dyDescent="0.25">
      <c r="Y472" s="145"/>
      <c r="Z472" s="146"/>
      <c r="AA472" s="126"/>
      <c r="AB472" s="126"/>
      <c r="AC472" s="126"/>
      <c r="AD472" s="126"/>
      <c r="AE472" s="126"/>
      <c r="AF472" s="126"/>
      <c r="AG472" s="126"/>
      <c r="AH472" s="126"/>
      <c r="AI472" s="126"/>
      <c r="AJ472" s="126"/>
      <c r="AK472" s="126"/>
      <c r="AL472" s="126"/>
    </row>
    <row r="473" spans="25:38" x14ac:dyDescent="0.25">
      <c r="Y473" s="145"/>
      <c r="Z473" s="146"/>
      <c r="AA473" s="126"/>
      <c r="AB473" s="126"/>
      <c r="AC473" s="126"/>
      <c r="AD473" s="126"/>
      <c r="AE473" s="126"/>
      <c r="AF473" s="126"/>
      <c r="AG473" s="126"/>
      <c r="AH473" s="126"/>
      <c r="AI473" s="126"/>
      <c r="AJ473" s="126"/>
      <c r="AK473" s="126"/>
      <c r="AL473" s="126"/>
    </row>
    <row r="474" spans="25:38" x14ac:dyDescent="0.25">
      <c r="Y474" s="145"/>
      <c r="Z474" s="146"/>
      <c r="AA474" s="126"/>
      <c r="AB474" s="126"/>
      <c r="AC474" s="126"/>
      <c r="AD474" s="126"/>
      <c r="AE474" s="126"/>
      <c r="AF474" s="126"/>
      <c r="AG474" s="126"/>
      <c r="AH474" s="126"/>
      <c r="AI474" s="126"/>
      <c r="AJ474" s="126"/>
      <c r="AK474" s="126"/>
      <c r="AL474" s="126"/>
    </row>
    <row r="475" spans="25:38" x14ac:dyDescent="0.25">
      <c r="Y475" s="145"/>
      <c r="Z475" s="146"/>
      <c r="AA475" s="126"/>
      <c r="AB475" s="126"/>
      <c r="AC475" s="126"/>
      <c r="AD475" s="126"/>
      <c r="AE475" s="126"/>
      <c r="AF475" s="126"/>
      <c r="AG475" s="126"/>
      <c r="AH475" s="126"/>
      <c r="AI475" s="126"/>
      <c r="AJ475" s="126"/>
      <c r="AK475" s="126"/>
      <c r="AL475" s="126"/>
    </row>
    <row r="476" spans="25:38" x14ac:dyDescent="0.25">
      <c r="Y476" s="145"/>
      <c r="Z476" s="146"/>
      <c r="AA476" s="126"/>
      <c r="AB476" s="126"/>
      <c r="AC476" s="126"/>
      <c r="AD476" s="126"/>
      <c r="AE476" s="126"/>
      <c r="AF476" s="126"/>
      <c r="AG476" s="126"/>
      <c r="AH476" s="126"/>
      <c r="AI476" s="126"/>
      <c r="AJ476" s="126"/>
      <c r="AK476" s="126"/>
      <c r="AL476" s="126"/>
    </row>
    <row r="477" spans="25:38" x14ac:dyDescent="0.25">
      <c r="Y477" s="145"/>
      <c r="Z477" s="146"/>
      <c r="AA477" s="126"/>
      <c r="AB477" s="126"/>
      <c r="AC477" s="126"/>
      <c r="AD477" s="126"/>
      <c r="AE477" s="126"/>
      <c r="AF477" s="126"/>
      <c r="AG477" s="126"/>
      <c r="AH477" s="126"/>
      <c r="AI477" s="126"/>
      <c r="AJ477" s="126"/>
      <c r="AK477" s="126"/>
      <c r="AL477" s="126"/>
    </row>
    <row r="478" spans="25:38" x14ac:dyDescent="0.25">
      <c r="Y478" s="145"/>
      <c r="Z478" s="146"/>
      <c r="AA478" s="126"/>
      <c r="AB478" s="126"/>
      <c r="AC478" s="126"/>
      <c r="AD478" s="126"/>
      <c r="AE478" s="126"/>
      <c r="AF478" s="126"/>
      <c r="AG478" s="126"/>
      <c r="AH478" s="126"/>
      <c r="AI478" s="126"/>
      <c r="AJ478" s="126"/>
      <c r="AK478" s="126"/>
      <c r="AL478" s="126"/>
    </row>
    <row r="479" spans="25:38" x14ac:dyDescent="0.25">
      <c r="Y479" s="145"/>
      <c r="Z479" s="146"/>
      <c r="AA479" s="126"/>
      <c r="AB479" s="126"/>
      <c r="AC479" s="126"/>
      <c r="AD479" s="126"/>
      <c r="AE479" s="126"/>
      <c r="AF479" s="126"/>
      <c r="AG479" s="126"/>
      <c r="AH479" s="126"/>
      <c r="AI479" s="126"/>
      <c r="AJ479" s="126"/>
      <c r="AK479" s="126"/>
      <c r="AL479" s="126"/>
    </row>
    <row r="480" spans="25:38" x14ac:dyDescent="0.25">
      <c r="Y480" s="145"/>
      <c r="Z480" s="146"/>
      <c r="AA480" s="126"/>
      <c r="AB480" s="126"/>
      <c r="AC480" s="126"/>
      <c r="AD480" s="126"/>
      <c r="AE480" s="126"/>
      <c r="AF480" s="126"/>
      <c r="AG480" s="126"/>
      <c r="AH480" s="126"/>
      <c r="AI480" s="126"/>
      <c r="AJ480" s="126"/>
      <c r="AK480" s="126"/>
      <c r="AL480" s="126"/>
    </row>
    <row r="481" spans="25:38" x14ac:dyDescent="0.25">
      <c r="Y481" s="145"/>
      <c r="Z481" s="146"/>
      <c r="AA481" s="126"/>
      <c r="AB481" s="126"/>
      <c r="AC481" s="126"/>
      <c r="AD481" s="126"/>
      <c r="AE481" s="126"/>
      <c r="AF481" s="126"/>
      <c r="AG481" s="126"/>
      <c r="AH481" s="126"/>
      <c r="AI481" s="126"/>
      <c r="AJ481" s="126"/>
      <c r="AK481" s="126"/>
      <c r="AL481" s="126"/>
    </row>
    <row r="482" spans="25:38" x14ac:dyDescent="0.25">
      <c r="Y482" s="145"/>
      <c r="Z482" s="146"/>
      <c r="AA482" s="126"/>
      <c r="AB482" s="126"/>
      <c r="AC482" s="126"/>
      <c r="AD482" s="126"/>
      <c r="AE482" s="126"/>
      <c r="AF482" s="126"/>
      <c r="AG482" s="126"/>
      <c r="AH482" s="126"/>
      <c r="AI482" s="126"/>
      <c r="AJ482" s="126"/>
      <c r="AK482" s="126"/>
      <c r="AL482" s="126"/>
    </row>
    <row r="483" spans="25:38" x14ac:dyDescent="0.25">
      <c r="Y483" s="147"/>
      <c r="Z483" s="148"/>
      <c r="AA483" s="126"/>
      <c r="AB483" s="126"/>
      <c r="AC483" s="126"/>
      <c r="AD483" s="126"/>
      <c r="AE483" s="126"/>
      <c r="AF483" s="126"/>
      <c r="AG483" s="126"/>
      <c r="AH483" s="126"/>
      <c r="AI483" s="126"/>
      <c r="AJ483" s="126"/>
      <c r="AK483" s="126"/>
      <c r="AL483" s="126"/>
    </row>
    <row r="484" spans="25:38" x14ac:dyDescent="0.25">
      <c r="Y484" s="137"/>
      <c r="Z484" s="138"/>
      <c r="AA484" s="125"/>
      <c r="AB484" s="125"/>
      <c r="AC484" s="125"/>
      <c r="AD484" s="125"/>
      <c r="AE484" s="125"/>
      <c r="AF484" s="125"/>
      <c r="AG484" s="125"/>
      <c r="AH484" s="125"/>
      <c r="AI484" s="125"/>
      <c r="AJ484" s="125"/>
      <c r="AK484" s="125"/>
      <c r="AL484" s="125"/>
    </row>
    <row r="485" spans="25:38" x14ac:dyDescent="0.25">
      <c r="Y485" s="139"/>
      <c r="Z485" s="140"/>
      <c r="AA485" s="125"/>
      <c r="AB485" s="125"/>
      <c r="AC485" s="125"/>
      <c r="AD485" s="125"/>
      <c r="AE485" s="125"/>
      <c r="AF485" s="125"/>
      <c r="AG485" s="125"/>
      <c r="AH485" s="125"/>
      <c r="AI485" s="125"/>
      <c r="AJ485" s="125"/>
      <c r="AK485" s="125"/>
      <c r="AL485" s="125"/>
    </row>
    <row r="486" spans="25:38" x14ac:dyDescent="0.25">
      <c r="Y486" s="139"/>
      <c r="Z486" s="140"/>
      <c r="AA486" s="125"/>
      <c r="AB486" s="125"/>
      <c r="AC486" s="125"/>
      <c r="AD486" s="125"/>
      <c r="AE486" s="125"/>
      <c r="AF486" s="125"/>
      <c r="AG486" s="125"/>
      <c r="AH486" s="125"/>
      <c r="AI486" s="125"/>
      <c r="AJ486" s="125"/>
      <c r="AK486" s="125"/>
      <c r="AL486" s="125"/>
    </row>
    <row r="487" spans="25:38" x14ac:dyDescent="0.25">
      <c r="Y487" s="139"/>
      <c r="Z487" s="140"/>
      <c r="AA487" s="125"/>
      <c r="AB487" s="125"/>
      <c r="AC487" s="125"/>
      <c r="AD487" s="125"/>
      <c r="AE487" s="125"/>
      <c r="AF487" s="125"/>
      <c r="AG487" s="125"/>
      <c r="AH487" s="125"/>
      <c r="AI487" s="125"/>
      <c r="AJ487" s="125"/>
      <c r="AK487" s="125"/>
      <c r="AL487" s="125"/>
    </row>
    <row r="488" spans="25:38" x14ac:dyDescent="0.25">
      <c r="Y488" s="139"/>
      <c r="Z488" s="140"/>
      <c r="AA488" s="125"/>
      <c r="AB488" s="125"/>
      <c r="AC488" s="125"/>
      <c r="AD488" s="125"/>
      <c r="AE488" s="125"/>
      <c r="AF488" s="125"/>
      <c r="AG488" s="125"/>
      <c r="AH488" s="125"/>
      <c r="AI488" s="125"/>
      <c r="AJ488" s="125"/>
      <c r="AK488" s="125"/>
      <c r="AL488" s="125"/>
    </row>
    <row r="489" spans="25:38" x14ac:dyDescent="0.25">
      <c r="Y489" s="139"/>
      <c r="Z489" s="140"/>
      <c r="AA489" s="125"/>
      <c r="AB489" s="125"/>
      <c r="AC489" s="125"/>
      <c r="AD489" s="125"/>
      <c r="AE489" s="125"/>
      <c r="AF489" s="125"/>
      <c r="AG489" s="125"/>
      <c r="AH489" s="125"/>
      <c r="AI489" s="125"/>
      <c r="AJ489" s="125"/>
      <c r="AK489" s="125"/>
      <c r="AL489" s="125"/>
    </row>
    <row r="490" spans="25:38" x14ac:dyDescent="0.25">
      <c r="Y490" s="139"/>
      <c r="Z490" s="140"/>
      <c r="AA490" s="125"/>
      <c r="AB490" s="125"/>
      <c r="AC490" s="125"/>
      <c r="AD490" s="125"/>
      <c r="AE490" s="125"/>
      <c r="AF490" s="125"/>
      <c r="AG490" s="125"/>
      <c r="AH490" s="125"/>
      <c r="AI490" s="125"/>
      <c r="AJ490" s="125"/>
      <c r="AK490" s="125"/>
      <c r="AL490" s="125"/>
    </row>
    <row r="491" spans="25:38" x14ac:dyDescent="0.25">
      <c r="Y491" s="139"/>
      <c r="Z491" s="140"/>
      <c r="AA491" s="125"/>
      <c r="AB491" s="125"/>
      <c r="AC491" s="125"/>
      <c r="AD491" s="125"/>
      <c r="AE491" s="125"/>
      <c r="AF491" s="125"/>
      <c r="AG491" s="125"/>
      <c r="AH491" s="125"/>
      <c r="AI491" s="125"/>
      <c r="AJ491" s="125"/>
      <c r="AK491" s="125"/>
      <c r="AL491" s="125"/>
    </row>
    <row r="492" spans="25:38" x14ac:dyDescent="0.25">
      <c r="Y492" s="139"/>
      <c r="Z492" s="140"/>
      <c r="AA492" s="125"/>
      <c r="AB492" s="125"/>
      <c r="AC492" s="125"/>
      <c r="AD492" s="125"/>
      <c r="AE492" s="125"/>
      <c r="AF492" s="125"/>
      <c r="AG492" s="125"/>
      <c r="AH492" s="125"/>
      <c r="AI492" s="125"/>
      <c r="AJ492" s="125"/>
      <c r="AK492" s="125"/>
      <c r="AL492" s="125"/>
    </row>
    <row r="493" spans="25:38" x14ac:dyDescent="0.25">
      <c r="Y493" s="139"/>
      <c r="Z493" s="140"/>
      <c r="AA493" s="125"/>
      <c r="AB493" s="125"/>
      <c r="AC493" s="125"/>
      <c r="AD493" s="125"/>
      <c r="AE493" s="125"/>
      <c r="AF493" s="125"/>
      <c r="AG493" s="125"/>
      <c r="AH493" s="125"/>
      <c r="AI493" s="125"/>
      <c r="AJ493" s="125"/>
      <c r="AK493" s="125"/>
      <c r="AL493" s="125"/>
    </row>
    <row r="494" spans="25:38" x14ac:dyDescent="0.25">
      <c r="Y494" s="139"/>
      <c r="Z494" s="140"/>
      <c r="AA494" s="125"/>
      <c r="AB494" s="125"/>
      <c r="AC494" s="125"/>
      <c r="AD494" s="125"/>
      <c r="AE494" s="125"/>
      <c r="AF494" s="125"/>
      <c r="AG494" s="125"/>
      <c r="AH494" s="125"/>
      <c r="AI494" s="125"/>
      <c r="AJ494" s="125"/>
      <c r="AK494" s="125"/>
      <c r="AL494" s="125"/>
    </row>
    <row r="495" spans="25:38" x14ac:dyDescent="0.25">
      <c r="Y495" s="139"/>
      <c r="Z495" s="140"/>
      <c r="AA495" s="125"/>
      <c r="AB495" s="125"/>
      <c r="AC495" s="125"/>
      <c r="AD495" s="125"/>
      <c r="AE495" s="125"/>
      <c r="AF495" s="125"/>
      <c r="AG495" s="125"/>
      <c r="AH495" s="125"/>
      <c r="AI495" s="125"/>
      <c r="AJ495" s="125"/>
      <c r="AK495" s="125"/>
      <c r="AL495" s="125"/>
    </row>
    <row r="496" spans="25:38" x14ac:dyDescent="0.25">
      <c r="Y496" s="139"/>
      <c r="Z496" s="140"/>
      <c r="AA496" s="125"/>
      <c r="AB496" s="125"/>
      <c r="AC496" s="125"/>
      <c r="AD496" s="125"/>
      <c r="AE496" s="125"/>
      <c r="AF496" s="125"/>
      <c r="AG496" s="125"/>
      <c r="AH496" s="125"/>
      <c r="AI496" s="125"/>
      <c r="AJ496" s="125"/>
      <c r="AK496" s="125"/>
      <c r="AL496" s="125"/>
    </row>
    <row r="497" spans="25:38" x14ac:dyDescent="0.25">
      <c r="Y497" s="139"/>
      <c r="Z497" s="140"/>
      <c r="AA497" s="125"/>
      <c r="AB497" s="125"/>
      <c r="AC497" s="125"/>
      <c r="AD497" s="125"/>
      <c r="AE497" s="125"/>
      <c r="AF497" s="125"/>
      <c r="AG497" s="125"/>
      <c r="AH497" s="125"/>
      <c r="AI497" s="125"/>
      <c r="AJ497" s="125"/>
      <c r="AK497" s="125"/>
      <c r="AL497" s="125"/>
    </row>
    <row r="498" spans="25:38" x14ac:dyDescent="0.25">
      <c r="Y498" s="139"/>
      <c r="Z498" s="140"/>
      <c r="AA498" s="125"/>
      <c r="AB498" s="125"/>
      <c r="AC498" s="125"/>
      <c r="AD498" s="125"/>
      <c r="AE498" s="125"/>
      <c r="AF498" s="125"/>
      <c r="AG498" s="125"/>
      <c r="AH498" s="125"/>
      <c r="AI498" s="125"/>
      <c r="AJ498" s="125"/>
      <c r="AK498" s="125"/>
      <c r="AL498" s="125"/>
    </row>
    <row r="499" spans="25:38" x14ac:dyDescent="0.25">
      <c r="Y499" s="139"/>
      <c r="Z499" s="140"/>
      <c r="AA499" s="125"/>
      <c r="AB499" s="125"/>
      <c r="AC499" s="125"/>
      <c r="AD499" s="125"/>
      <c r="AE499" s="125"/>
      <c r="AF499" s="125"/>
      <c r="AG499" s="125"/>
      <c r="AH499" s="125"/>
      <c r="AI499" s="125"/>
      <c r="AJ499" s="125"/>
      <c r="AK499" s="125"/>
      <c r="AL499" s="125"/>
    </row>
    <row r="500" spans="25:38" x14ac:dyDescent="0.25">
      <c r="Y500" s="139"/>
      <c r="Z500" s="140"/>
      <c r="AA500" s="125"/>
      <c r="AB500" s="125"/>
      <c r="AC500" s="125"/>
      <c r="AD500" s="125"/>
      <c r="AE500" s="125"/>
      <c r="AF500" s="125"/>
      <c r="AG500" s="125"/>
      <c r="AH500" s="125"/>
      <c r="AI500" s="125"/>
      <c r="AJ500" s="125"/>
      <c r="AK500" s="125"/>
      <c r="AL500" s="125"/>
    </row>
    <row r="501" spans="25:38" x14ac:dyDescent="0.25">
      <c r="Y501" s="139"/>
      <c r="Z501" s="140"/>
      <c r="AA501" s="125"/>
      <c r="AB501" s="125"/>
      <c r="AC501" s="125"/>
      <c r="AD501" s="125"/>
      <c r="AE501" s="125"/>
      <c r="AF501" s="125"/>
      <c r="AG501" s="125"/>
      <c r="AH501" s="125"/>
      <c r="AI501" s="125"/>
      <c r="AJ501" s="125"/>
      <c r="AK501" s="125"/>
      <c r="AL501" s="125"/>
    </row>
    <row r="502" spans="25:38" x14ac:dyDescent="0.25">
      <c r="Y502" s="139"/>
      <c r="Z502" s="140"/>
      <c r="AA502" s="125"/>
      <c r="AB502" s="125"/>
      <c r="AC502" s="125"/>
      <c r="AD502" s="125"/>
      <c r="AE502" s="125"/>
      <c r="AF502" s="125"/>
      <c r="AG502" s="125"/>
      <c r="AH502" s="125"/>
      <c r="AI502" s="125"/>
      <c r="AJ502" s="125"/>
      <c r="AK502" s="125"/>
      <c r="AL502" s="125"/>
    </row>
    <row r="503" spans="25:38" x14ac:dyDescent="0.25">
      <c r="Y503" s="139"/>
      <c r="Z503" s="140"/>
      <c r="AA503" s="125"/>
      <c r="AB503" s="125"/>
      <c r="AC503" s="125"/>
      <c r="AD503" s="125"/>
      <c r="AE503" s="125"/>
      <c r="AF503" s="125"/>
      <c r="AG503" s="125"/>
      <c r="AH503" s="125"/>
      <c r="AI503" s="125"/>
      <c r="AJ503" s="125"/>
      <c r="AK503" s="125"/>
      <c r="AL503" s="125"/>
    </row>
    <row r="504" spans="25:38" x14ac:dyDescent="0.25">
      <c r="Y504" s="139"/>
      <c r="Z504" s="140"/>
      <c r="AA504" s="125"/>
      <c r="AB504" s="125"/>
      <c r="AC504" s="125"/>
      <c r="AD504" s="125"/>
      <c r="AE504" s="125"/>
      <c r="AF504" s="125"/>
      <c r="AG504" s="125"/>
      <c r="AH504" s="125"/>
      <c r="AI504" s="125"/>
      <c r="AJ504" s="125"/>
      <c r="AK504" s="125"/>
      <c r="AL504" s="125"/>
    </row>
    <row r="505" spans="25:38" x14ac:dyDescent="0.25">
      <c r="Y505" s="139"/>
      <c r="Z505" s="140"/>
      <c r="AA505" s="125"/>
      <c r="AB505" s="125"/>
      <c r="AC505" s="125"/>
      <c r="AD505" s="125"/>
      <c r="AE505" s="125"/>
      <c r="AF505" s="125"/>
      <c r="AG505" s="125"/>
      <c r="AH505" s="125"/>
      <c r="AI505" s="125"/>
      <c r="AJ505" s="125"/>
      <c r="AK505" s="125"/>
      <c r="AL505" s="125"/>
    </row>
    <row r="506" spans="25:38" x14ac:dyDescent="0.25">
      <c r="Y506" s="139"/>
      <c r="Z506" s="140"/>
      <c r="AA506" s="125"/>
      <c r="AB506" s="125"/>
      <c r="AC506" s="125"/>
      <c r="AD506" s="125"/>
      <c r="AE506" s="125"/>
      <c r="AF506" s="125"/>
      <c r="AG506" s="125"/>
      <c r="AH506" s="125"/>
      <c r="AI506" s="125"/>
      <c r="AJ506" s="125"/>
      <c r="AK506" s="125"/>
      <c r="AL506" s="125"/>
    </row>
    <row r="507" spans="25:38" x14ac:dyDescent="0.25">
      <c r="Y507" s="139"/>
      <c r="Z507" s="140"/>
      <c r="AA507" s="125"/>
      <c r="AB507" s="125"/>
      <c r="AC507" s="125"/>
      <c r="AD507" s="125"/>
      <c r="AE507" s="125"/>
      <c r="AF507" s="125"/>
      <c r="AG507" s="125"/>
      <c r="AH507" s="125"/>
      <c r="AI507" s="125"/>
      <c r="AJ507" s="125"/>
      <c r="AK507" s="125"/>
      <c r="AL507" s="125"/>
    </row>
    <row r="508" spans="25:38" x14ac:dyDescent="0.25">
      <c r="Y508" s="139"/>
      <c r="Z508" s="140"/>
      <c r="AA508" s="125"/>
      <c r="AB508" s="125"/>
      <c r="AC508" s="125"/>
      <c r="AD508" s="125"/>
      <c r="AE508" s="125"/>
      <c r="AF508" s="125"/>
      <c r="AG508" s="125"/>
      <c r="AH508" s="125"/>
      <c r="AI508" s="125"/>
      <c r="AJ508" s="125"/>
      <c r="AK508" s="125"/>
      <c r="AL508" s="125"/>
    </row>
    <row r="509" spans="25:38" x14ac:dyDescent="0.25">
      <c r="Y509" s="139"/>
      <c r="Z509" s="140"/>
      <c r="AA509" s="125"/>
      <c r="AB509" s="125"/>
      <c r="AC509" s="125"/>
      <c r="AD509" s="125"/>
      <c r="AE509" s="125"/>
      <c r="AF509" s="125"/>
      <c r="AG509" s="125"/>
      <c r="AH509" s="125"/>
      <c r="AI509" s="125"/>
      <c r="AJ509" s="125"/>
      <c r="AK509" s="125"/>
      <c r="AL509" s="125"/>
    </row>
    <row r="510" spans="25:38" x14ac:dyDescent="0.25">
      <c r="Y510" s="139"/>
      <c r="Z510" s="140"/>
      <c r="AA510" s="125"/>
      <c r="AB510" s="125"/>
      <c r="AC510" s="125"/>
      <c r="AD510" s="125"/>
      <c r="AE510" s="125"/>
      <c r="AF510" s="125"/>
      <c r="AG510" s="125"/>
      <c r="AH510" s="125"/>
      <c r="AI510" s="125"/>
      <c r="AJ510" s="125"/>
      <c r="AK510" s="125"/>
      <c r="AL510" s="125"/>
    </row>
    <row r="511" spans="25:38" x14ac:dyDescent="0.25">
      <c r="Y511" s="139"/>
      <c r="Z511" s="140"/>
      <c r="AA511" s="125"/>
      <c r="AB511" s="125"/>
      <c r="AC511" s="125"/>
      <c r="AD511" s="125"/>
      <c r="AE511" s="125"/>
      <c r="AF511" s="125"/>
      <c r="AG511" s="125"/>
      <c r="AH511" s="125"/>
      <c r="AI511" s="125"/>
      <c r="AJ511" s="125"/>
      <c r="AK511" s="125"/>
      <c r="AL511" s="125"/>
    </row>
    <row r="512" spans="25:38" x14ac:dyDescent="0.25">
      <c r="Y512" s="139"/>
      <c r="Z512" s="140"/>
      <c r="AA512" s="125"/>
      <c r="AB512" s="125"/>
      <c r="AC512" s="125"/>
      <c r="AD512" s="125"/>
      <c r="AE512" s="125"/>
      <c r="AF512" s="125"/>
      <c r="AG512" s="125"/>
      <c r="AH512" s="125"/>
      <c r="AI512" s="125"/>
      <c r="AJ512" s="125"/>
      <c r="AK512" s="125"/>
      <c r="AL512" s="125"/>
    </row>
    <row r="513" spans="25:38" x14ac:dyDescent="0.25">
      <c r="Y513" s="141"/>
      <c r="Z513" s="142"/>
      <c r="AA513" s="125"/>
      <c r="AB513" s="125"/>
      <c r="AC513" s="125"/>
      <c r="AD513" s="125"/>
      <c r="AE513" s="125"/>
      <c r="AF513" s="125"/>
      <c r="AG513" s="125"/>
      <c r="AH513" s="125"/>
      <c r="AI513" s="125"/>
      <c r="AJ513" s="125"/>
      <c r="AK513" s="125"/>
      <c r="AL513" s="125"/>
    </row>
    <row r="514" spans="25:38" x14ac:dyDescent="0.25">
      <c r="Y514" s="143"/>
      <c r="Z514" s="144"/>
      <c r="AA514" s="126"/>
      <c r="AB514" s="126"/>
      <c r="AC514" s="126"/>
      <c r="AD514" s="126"/>
      <c r="AE514" s="126"/>
      <c r="AF514" s="126"/>
      <c r="AG514" s="126"/>
      <c r="AH514" s="126"/>
      <c r="AI514" s="126"/>
      <c r="AJ514" s="126"/>
      <c r="AK514" s="126"/>
      <c r="AL514" s="126"/>
    </row>
    <row r="515" spans="25:38" x14ac:dyDescent="0.25">
      <c r="Y515" s="145"/>
      <c r="Z515" s="146"/>
      <c r="AA515" s="126"/>
      <c r="AB515" s="126"/>
      <c r="AC515" s="126"/>
      <c r="AD515" s="126"/>
      <c r="AE515" s="126"/>
      <c r="AF515" s="126"/>
      <c r="AG515" s="126"/>
      <c r="AH515" s="126"/>
      <c r="AI515" s="126"/>
      <c r="AJ515" s="126"/>
      <c r="AK515" s="126"/>
      <c r="AL515" s="126"/>
    </row>
    <row r="516" spans="25:38" x14ac:dyDescent="0.25">
      <c r="Y516" s="145"/>
      <c r="Z516" s="146"/>
      <c r="AA516" s="126"/>
      <c r="AB516" s="126"/>
      <c r="AC516" s="126"/>
      <c r="AD516" s="126"/>
      <c r="AE516" s="126"/>
      <c r="AF516" s="126"/>
      <c r="AG516" s="126"/>
      <c r="AH516" s="126"/>
      <c r="AI516" s="126"/>
      <c r="AJ516" s="126"/>
      <c r="AK516" s="126"/>
      <c r="AL516" s="126"/>
    </row>
    <row r="517" spans="25:38" x14ac:dyDescent="0.25">
      <c r="Y517" s="145"/>
      <c r="Z517" s="146"/>
      <c r="AA517" s="126"/>
      <c r="AB517" s="126"/>
      <c r="AC517" s="126"/>
      <c r="AD517" s="126"/>
      <c r="AE517" s="126"/>
      <c r="AF517" s="126"/>
      <c r="AG517" s="126"/>
      <c r="AH517" s="126"/>
      <c r="AI517" s="126"/>
      <c r="AJ517" s="126"/>
      <c r="AK517" s="126"/>
      <c r="AL517" s="126"/>
    </row>
    <row r="518" spans="25:38" x14ac:dyDescent="0.25">
      <c r="Y518" s="145"/>
      <c r="Z518" s="146"/>
      <c r="AA518" s="126"/>
      <c r="AB518" s="126"/>
      <c r="AC518" s="126"/>
      <c r="AD518" s="126"/>
      <c r="AE518" s="126"/>
      <c r="AF518" s="126"/>
      <c r="AG518" s="126"/>
      <c r="AH518" s="126"/>
      <c r="AI518" s="126"/>
      <c r="AJ518" s="126"/>
      <c r="AK518" s="126"/>
      <c r="AL518" s="126"/>
    </row>
    <row r="519" spans="25:38" x14ac:dyDescent="0.25">
      <c r="Y519" s="145"/>
      <c r="Z519" s="146"/>
      <c r="AA519" s="126"/>
      <c r="AB519" s="126"/>
      <c r="AC519" s="126"/>
      <c r="AD519" s="126"/>
      <c r="AE519" s="126"/>
      <c r="AF519" s="126"/>
      <c r="AG519" s="126"/>
      <c r="AH519" s="126"/>
      <c r="AI519" s="126"/>
      <c r="AJ519" s="126"/>
      <c r="AK519" s="126"/>
      <c r="AL519" s="126"/>
    </row>
    <row r="520" spans="25:38" x14ac:dyDescent="0.25">
      <c r="Y520" s="145"/>
      <c r="Z520" s="146"/>
      <c r="AA520" s="126"/>
      <c r="AB520" s="126"/>
      <c r="AC520" s="126"/>
      <c r="AD520" s="126"/>
      <c r="AE520" s="126"/>
      <c r="AF520" s="126"/>
      <c r="AG520" s="126"/>
      <c r="AH520" s="126"/>
      <c r="AI520" s="126"/>
      <c r="AJ520" s="126"/>
      <c r="AK520" s="126"/>
      <c r="AL520" s="126"/>
    </row>
    <row r="521" spans="25:38" x14ac:dyDescent="0.25">
      <c r="Y521" s="145"/>
      <c r="Z521" s="146"/>
      <c r="AA521" s="126"/>
      <c r="AB521" s="126"/>
      <c r="AC521" s="126"/>
      <c r="AD521" s="126"/>
      <c r="AE521" s="126"/>
      <c r="AF521" s="126"/>
      <c r="AG521" s="126"/>
      <c r="AH521" s="126"/>
      <c r="AI521" s="126"/>
      <c r="AJ521" s="126"/>
      <c r="AK521" s="126"/>
      <c r="AL521" s="126"/>
    </row>
    <row r="522" spans="25:38" x14ac:dyDescent="0.25">
      <c r="Y522" s="145"/>
      <c r="Z522" s="146"/>
      <c r="AA522" s="126"/>
      <c r="AB522" s="126"/>
      <c r="AC522" s="126"/>
      <c r="AD522" s="126"/>
      <c r="AE522" s="126"/>
      <c r="AF522" s="126"/>
      <c r="AG522" s="126"/>
      <c r="AH522" s="126"/>
      <c r="AI522" s="126"/>
      <c r="AJ522" s="126"/>
      <c r="AK522" s="126"/>
      <c r="AL522" s="126"/>
    </row>
    <row r="523" spans="25:38" x14ac:dyDescent="0.25">
      <c r="Y523" s="145"/>
      <c r="Z523" s="146"/>
      <c r="AA523" s="126"/>
      <c r="AB523" s="126"/>
      <c r="AC523" s="126"/>
      <c r="AD523" s="126"/>
      <c r="AE523" s="126"/>
      <c r="AF523" s="126"/>
      <c r="AG523" s="126"/>
      <c r="AH523" s="126"/>
      <c r="AI523" s="126"/>
      <c r="AJ523" s="126"/>
      <c r="AK523" s="126"/>
      <c r="AL523" s="126"/>
    </row>
    <row r="524" spans="25:38" x14ac:dyDescent="0.25">
      <c r="Y524" s="145"/>
      <c r="Z524" s="146"/>
      <c r="AA524" s="126"/>
      <c r="AB524" s="126"/>
      <c r="AC524" s="126"/>
      <c r="AD524" s="126"/>
      <c r="AE524" s="126"/>
      <c r="AF524" s="126"/>
      <c r="AG524" s="126"/>
      <c r="AH524" s="126"/>
      <c r="AI524" s="126"/>
      <c r="AJ524" s="126"/>
      <c r="AK524" s="126"/>
      <c r="AL524" s="126"/>
    </row>
    <row r="525" spans="25:38" x14ac:dyDescent="0.25">
      <c r="Y525" s="145"/>
      <c r="Z525" s="146"/>
      <c r="AA525" s="126"/>
      <c r="AB525" s="126"/>
      <c r="AC525" s="126"/>
      <c r="AD525" s="126"/>
      <c r="AE525" s="126"/>
      <c r="AF525" s="126"/>
      <c r="AG525" s="126"/>
      <c r="AH525" s="126"/>
      <c r="AI525" s="126"/>
      <c r="AJ525" s="126"/>
      <c r="AK525" s="126"/>
      <c r="AL525" s="126"/>
    </row>
    <row r="526" spans="25:38" x14ac:dyDescent="0.25">
      <c r="Y526" s="145"/>
      <c r="Z526" s="146"/>
      <c r="AA526" s="126"/>
      <c r="AB526" s="126"/>
      <c r="AC526" s="126"/>
      <c r="AD526" s="126"/>
      <c r="AE526" s="126"/>
      <c r="AF526" s="126"/>
      <c r="AG526" s="126"/>
      <c r="AH526" s="126"/>
      <c r="AI526" s="126"/>
      <c r="AJ526" s="126"/>
      <c r="AK526" s="126"/>
      <c r="AL526" s="126"/>
    </row>
    <row r="527" spans="25:38" x14ac:dyDescent="0.25">
      <c r="Y527" s="145"/>
      <c r="Z527" s="146"/>
      <c r="AA527" s="126"/>
      <c r="AB527" s="126"/>
      <c r="AC527" s="126"/>
      <c r="AD527" s="126"/>
      <c r="AE527" s="126"/>
      <c r="AF527" s="126"/>
      <c r="AG527" s="126"/>
      <c r="AH527" s="126"/>
      <c r="AI527" s="126"/>
      <c r="AJ527" s="126"/>
      <c r="AK527" s="126"/>
      <c r="AL527" s="126"/>
    </row>
    <row r="528" spans="25:38" x14ac:dyDescent="0.25">
      <c r="Y528" s="145"/>
      <c r="Z528" s="146"/>
      <c r="AA528" s="126"/>
      <c r="AB528" s="126"/>
      <c r="AC528" s="126"/>
      <c r="AD528" s="126"/>
      <c r="AE528" s="126"/>
      <c r="AF528" s="126"/>
      <c r="AG528" s="126"/>
      <c r="AH528" s="126"/>
      <c r="AI528" s="126"/>
      <c r="AJ528" s="126"/>
      <c r="AK528" s="126"/>
      <c r="AL528" s="126"/>
    </row>
    <row r="529" spans="25:38" x14ac:dyDescent="0.25">
      <c r="Y529" s="145"/>
      <c r="Z529" s="146"/>
      <c r="AA529" s="126"/>
      <c r="AB529" s="126"/>
      <c r="AC529" s="126"/>
      <c r="AD529" s="126"/>
      <c r="AE529" s="126"/>
      <c r="AF529" s="126"/>
      <c r="AG529" s="126"/>
      <c r="AH529" s="126"/>
      <c r="AI529" s="126"/>
      <c r="AJ529" s="126"/>
      <c r="AK529" s="126"/>
      <c r="AL529" s="126"/>
    </row>
    <row r="530" spans="25:38" x14ac:dyDescent="0.25">
      <c r="Y530" s="145"/>
      <c r="Z530" s="146"/>
      <c r="AA530" s="126"/>
      <c r="AB530" s="126"/>
      <c r="AC530" s="126"/>
      <c r="AD530" s="126"/>
      <c r="AE530" s="126"/>
      <c r="AF530" s="126"/>
      <c r="AG530" s="126"/>
      <c r="AH530" s="126"/>
      <c r="AI530" s="126"/>
      <c r="AJ530" s="126"/>
      <c r="AK530" s="126"/>
      <c r="AL530" s="126"/>
    </row>
    <row r="531" spans="25:38" x14ac:dyDescent="0.25">
      <c r="Y531" s="145"/>
      <c r="Z531" s="146"/>
      <c r="AA531" s="126"/>
      <c r="AB531" s="126"/>
      <c r="AC531" s="126"/>
      <c r="AD531" s="126"/>
      <c r="AE531" s="126"/>
      <c r="AF531" s="126"/>
      <c r="AG531" s="126"/>
      <c r="AH531" s="126"/>
      <c r="AI531" s="126"/>
      <c r="AJ531" s="126"/>
      <c r="AK531" s="126"/>
      <c r="AL531" s="126"/>
    </row>
    <row r="532" spans="25:38" x14ac:dyDescent="0.25">
      <c r="Y532" s="145"/>
      <c r="Z532" s="146"/>
      <c r="AA532" s="126"/>
      <c r="AB532" s="126"/>
      <c r="AC532" s="126"/>
      <c r="AD532" s="126"/>
      <c r="AE532" s="126"/>
      <c r="AF532" s="126"/>
      <c r="AG532" s="126"/>
      <c r="AH532" s="126"/>
      <c r="AI532" s="126"/>
      <c r="AJ532" s="126"/>
      <c r="AK532" s="126"/>
      <c r="AL532" s="126"/>
    </row>
    <row r="533" spans="25:38" x14ac:dyDescent="0.25">
      <c r="Y533" s="145"/>
      <c r="Z533" s="146"/>
      <c r="AA533" s="126"/>
      <c r="AB533" s="126"/>
      <c r="AC533" s="126"/>
      <c r="AD533" s="126"/>
      <c r="AE533" s="126"/>
      <c r="AF533" s="126"/>
      <c r="AG533" s="126"/>
      <c r="AH533" s="126"/>
      <c r="AI533" s="126"/>
      <c r="AJ533" s="126"/>
      <c r="AK533" s="126"/>
      <c r="AL533" s="126"/>
    </row>
    <row r="534" spans="25:38" x14ac:dyDescent="0.25">
      <c r="Y534" s="145"/>
      <c r="Z534" s="146"/>
      <c r="AA534" s="126"/>
      <c r="AB534" s="126"/>
      <c r="AC534" s="126"/>
      <c r="AD534" s="126"/>
      <c r="AE534" s="126"/>
      <c r="AF534" s="126"/>
      <c r="AG534" s="126"/>
      <c r="AH534" s="126"/>
      <c r="AI534" s="126"/>
      <c r="AJ534" s="126"/>
      <c r="AK534" s="126"/>
      <c r="AL534" s="126"/>
    </row>
    <row r="535" spans="25:38" x14ac:dyDescent="0.25">
      <c r="Y535" s="145"/>
      <c r="Z535" s="146"/>
      <c r="AA535" s="126"/>
      <c r="AB535" s="126"/>
      <c r="AC535" s="126"/>
      <c r="AD535" s="126"/>
      <c r="AE535" s="126"/>
      <c r="AF535" s="126"/>
      <c r="AG535" s="126"/>
      <c r="AH535" s="126"/>
      <c r="AI535" s="126"/>
      <c r="AJ535" s="126"/>
      <c r="AK535" s="126"/>
      <c r="AL535" s="126"/>
    </row>
    <row r="536" spans="25:38" x14ac:dyDescent="0.25">
      <c r="Y536" s="145"/>
      <c r="Z536" s="146"/>
      <c r="AA536" s="126"/>
      <c r="AB536" s="126"/>
      <c r="AC536" s="126"/>
      <c r="AD536" s="126"/>
      <c r="AE536" s="126"/>
      <c r="AF536" s="126"/>
      <c r="AG536" s="126"/>
      <c r="AH536" s="126"/>
      <c r="AI536" s="126"/>
      <c r="AJ536" s="126"/>
      <c r="AK536" s="126"/>
      <c r="AL536" s="126"/>
    </row>
    <row r="537" spans="25:38" x14ac:dyDescent="0.25">
      <c r="Y537" s="145"/>
      <c r="Z537" s="146"/>
      <c r="AA537" s="126"/>
      <c r="AB537" s="126"/>
      <c r="AC537" s="126"/>
      <c r="AD537" s="126"/>
      <c r="AE537" s="126"/>
      <c r="AF537" s="126"/>
      <c r="AG537" s="126"/>
      <c r="AH537" s="126"/>
      <c r="AI537" s="126"/>
      <c r="AJ537" s="126"/>
      <c r="AK537" s="126"/>
      <c r="AL537" s="126"/>
    </row>
    <row r="538" spans="25:38" x14ac:dyDescent="0.25">
      <c r="Y538" s="145"/>
      <c r="Z538" s="146"/>
      <c r="AA538" s="126"/>
      <c r="AB538" s="126"/>
      <c r="AC538" s="126"/>
      <c r="AD538" s="126"/>
      <c r="AE538" s="126"/>
      <c r="AF538" s="126"/>
      <c r="AG538" s="126"/>
      <c r="AH538" s="126"/>
      <c r="AI538" s="126"/>
      <c r="AJ538" s="126"/>
      <c r="AK538" s="126"/>
      <c r="AL538" s="126"/>
    </row>
    <row r="539" spans="25:38" x14ac:dyDescent="0.25">
      <c r="Y539" s="145"/>
      <c r="Z539" s="146"/>
      <c r="AA539" s="126"/>
      <c r="AB539" s="126"/>
      <c r="AC539" s="126"/>
      <c r="AD539" s="126"/>
      <c r="AE539" s="126"/>
      <c r="AF539" s="126"/>
      <c r="AG539" s="126"/>
      <c r="AH539" s="126"/>
      <c r="AI539" s="126"/>
      <c r="AJ539" s="126"/>
      <c r="AK539" s="126"/>
      <c r="AL539" s="126"/>
    </row>
    <row r="540" spans="25:38" x14ac:dyDescent="0.25">
      <c r="Y540" s="145"/>
      <c r="Z540" s="146"/>
      <c r="AA540" s="126"/>
      <c r="AB540" s="126"/>
      <c r="AC540" s="126"/>
      <c r="AD540" s="126"/>
      <c r="AE540" s="126"/>
      <c r="AF540" s="126"/>
      <c r="AG540" s="126"/>
      <c r="AH540" s="126"/>
      <c r="AI540" s="126"/>
      <c r="AJ540" s="126"/>
      <c r="AK540" s="126"/>
      <c r="AL540" s="126"/>
    </row>
    <row r="541" spans="25:38" x14ac:dyDescent="0.25">
      <c r="Y541" s="145"/>
      <c r="Z541" s="146"/>
      <c r="AA541" s="126"/>
      <c r="AB541" s="126"/>
      <c r="AC541" s="126"/>
      <c r="AD541" s="126"/>
      <c r="AE541" s="126"/>
      <c r="AF541" s="126"/>
      <c r="AG541" s="126"/>
      <c r="AH541" s="126"/>
      <c r="AI541" s="126"/>
      <c r="AJ541" s="126"/>
      <c r="AK541" s="126"/>
      <c r="AL541" s="126"/>
    </row>
    <row r="542" spans="25:38" x14ac:dyDescent="0.25">
      <c r="Y542" s="145"/>
      <c r="Z542" s="146"/>
      <c r="AA542" s="126"/>
      <c r="AB542" s="126"/>
      <c r="AC542" s="126"/>
      <c r="AD542" s="126"/>
      <c r="AE542" s="126"/>
      <c r="AF542" s="126"/>
      <c r="AG542" s="126"/>
      <c r="AH542" s="126"/>
      <c r="AI542" s="126"/>
      <c r="AJ542" s="126"/>
      <c r="AK542" s="126"/>
      <c r="AL542" s="126"/>
    </row>
    <row r="543" spans="25:38" x14ac:dyDescent="0.25">
      <c r="Y543" s="147"/>
      <c r="Z543" s="148"/>
      <c r="AA543" s="126"/>
      <c r="AB543" s="126"/>
      <c r="AC543" s="126"/>
      <c r="AD543" s="126"/>
      <c r="AE543" s="126"/>
      <c r="AF543" s="126"/>
      <c r="AG543" s="126"/>
      <c r="AH543" s="126"/>
      <c r="AI543" s="126"/>
      <c r="AJ543" s="126"/>
      <c r="AK543" s="126"/>
      <c r="AL543" s="126"/>
    </row>
    <row r="544" spans="25:38" x14ac:dyDescent="0.25">
      <c r="Y544" s="137"/>
      <c r="Z544" s="138"/>
      <c r="AA544" s="125"/>
      <c r="AB544" s="125"/>
      <c r="AC544" s="125"/>
      <c r="AD544" s="125"/>
      <c r="AE544" s="125"/>
      <c r="AF544" s="125"/>
      <c r="AG544" s="125"/>
      <c r="AH544" s="125"/>
      <c r="AI544" s="125"/>
      <c r="AJ544" s="125"/>
      <c r="AK544" s="125"/>
      <c r="AL544" s="125"/>
    </row>
    <row r="545" spans="25:38" x14ac:dyDescent="0.25">
      <c r="Y545" s="139"/>
      <c r="Z545" s="140"/>
      <c r="AA545" s="125"/>
      <c r="AB545" s="125"/>
      <c r="AC545" s="125"/>
      <c r="AD545" s="125"/>
      <c r="AE545" s="125"/>
      <c r="AF545" s="125"/>
      <c r="AG545" s="125"/>
      <c r="AH545" s="125"/>
      <c r="AI545" s="125"/>
      <c r="AJ545" s="125"/>
      <c r="AK545" s="125"/>
      <c r="AL545" s="125"/>
    </row>
    <row r="546" spans="25:38" x14ac:dyDescent="0.25">
      <c r="Y546" s="139"/>
      <c r="Z546" s="140"/>
      <c r="AA546" s="125"/>
      <c r="AB546" s="125"/>
      <c r="AC546" s="125"/>
      <c r="AD546" s="125"/>
      <c r="AE546" s="125"/>
      <c r="AF546" s="125"/>
      <c r="AG546" s="125"/>
      <c r="AH546" s="125"/>
      <c r="AI546" s="125"/>
      <c r="AJ546" s="125"/>
      <c r="AK546" s="125"/>
      <c r="AL546" s="125"/>
    </row>
    <row r="547" spans="25:38" x14ac:dyDescent="0.25">
      <c r="Y547" s="139"/>
      <c r="Z547" s="140"/>
      <c r="AA547" s="125"/>
      <c r="AB547" s="125"/>
      <c r="AC547" s="125"/>
      <c r="AD547" s="125"/>
      <c r="AE547" s="125"/>
      <c r="AF547" s="125"/>
      <c r="AG547" s="125"/>
      <c r="AH547" s="125"/>
      <c r="AI547" s="125"/>
      <c r="AJ547" s="125"/>
      <c r="AK547" s="125"/>
      <c r="AL547" s="125"/>
    </row>
    <row r="548" spans="25:38" x14ac:dyDescent="0.25">
      <c r="Y548" s="139"/>
      <c r="Z548" s="140"/>
      <c r="AA548" s="125"/>
      <c r="AB548" s="125"/>
      <c r="AC548" s="125"/>
      <c r="AD548" s="125"/>
      <c r="AE548" s="125"/>
      <c r="AF548" s="125"/>
      <c r="AG548" s="125"/>
      <c r="AH548" s="125"/>
      <c r="AI548" s="125"/>
      <c r="AJ548" s="125"/>
      <c r="AK548" s="125"/>
      <c r="AL548" s="125"/>
    </row>
    <row r="549" spans="25:38" x14ac:dyDescent="0.25">
      <c r="Y549" s="139"/>
      <c r="Z549" s="140"/>
      <c r="AA549" s="125"/>
      <c r="AB549" s="125"/>
      <c r="AC549" s="125"/>
      <c r="AD549" s="125"/>
      <c r="AE549" s="125"/>
      <c r="AF549" s="125"/>
      <c r="AG549" s="125"/>
      <c r="AH549" s="125"/>
      <c r="AI549" s="125"/>
      <c r="AJ549" s="125"/>
      <c r="AK549" s="125"/>
      <c r="AL549" s="125"/>
    </row>
    <row r="550" spans="25:38" x14ac:dyDescent="0.25">
      <c r="Y550" s="139"/>
      <c r="Z550" s="140"/>
      <c r="AA550" s="125"/>
      <c r="AB550" s="125"/>
      <c r="AC550" s="125"/>
      <c r="AD550" s="125"/>
      <c r="AE550" s="125"/>
      <c r="AF550" s="125"/>
      <c r="AG550" s="125"/>
      <c r="AH550" s="125"/>
      <c r="AI550" s="125"/>
      <c r="AJ550" s="125"/>
      <c r="AK550" s="125"/>
      <c r="AL550" s="125"/>
    </row>
    <row r="551" spans="25:38" x14ac:dyDescent="0.25">
      <c r="Y551" s="139"/>
      <c r="Z551" s="140"/>
      <c r="AA551" s="125"/>
      <c r="AB551" s="125"/>
      <c r="AC551" s="125"/>
      <c r="AD551" s="125"/>
      <c r="AE551" s="125"/>
      <c r="AF551" s="125"/>
      <c r="AG551" s="125"/>
      <c r="AH551" s="125"/>
      <c r="AI551" s="125"/>
      <c r="AJ551" s="125"/>
      <c r="AK551" s="125"/>
      <c r="AL551" s="125"/>
    </row>
    <row r="552" spans="25:38" x14ac:dyDescent="0.25">
      <c r="Y552" s="139"/>
      <c r="Z552" s="140"/>
      <c r="AA552" s="125"/>
      <c r="AB552" s="125"/>
      <c r="AC552" s="125"/>
      <c r="AD552" s="125"/>
      <c r="AE552" s="125"/>
      <c r="AF552" s="125"/>
      <c r="AG552" s="125"/>
      <c r="AH552" s="125"/>
      <c r="AI552" s="125"/>
      <c r="AJ552" s="125"/>
      <c r="AK552" s="125"/>
      <c r="AL552" s="125"/>
    </row>
    <row r="553" spans="25:38" x14ac:dyDescent="0.25">
      <c r="Y553" s="139"/>
      <c r="Z553" s="140"/>
      <c r="AA553" s="125"/>
      <c r="AB553" s="125"/>
      <c r="AC553" s="125"/>
      <c r="AD553" s="125"/>
      <c r="AE553" s="125"/>
      <c r="AF553" s="125"/>
      <c r="AG553" s="125"/>
      <c r="AH553" s="125"/>
      <c r="AI553" s="125"/>
      <c r="AJ553" s="125"/>
      <c r="AK553" s="125"/>
      <c r="AL553" s="125"/>
    </row>
    <row r="554" spans="25:38" x14ac:dyDescent="0.25">
      <c r="Y554" s="139"/>
      <c r="Z554" s="140"/>
      <c r="AA554" s="125"/>
      <c r="AB554" s="125"/>
      <c r="AC554" s="125"/>
      <c r="AD554" s="125"/>
      <c r="AE554" s="125"/>
      <c r="AF554" s="125"/>
      <c r="AG554" s="125"/>
      <c r="AH554" s="125"/>
      <c r="AI554" s="125"/>
      <c r="AJ554" s="125"/>
      <c r="AK554" s="125"/>
      <c r="AL554" s="125"/>
    </row>
    <row r="555" spans="25:38" x14ac:dyDescent="0.25">
      <c r="Y555" s="139"/>
      <c r="Z555" s="140"/>
      <c r="AA555" s="125"/>
      <c r="AB555" s="125"/>
      <c r="AC555" s="125"/>
      <c r="AD555" s="125"/>
      <c r="AE555" s="125"/>
      <c r="AF555" s="125"/>
      <c r="AG555" s="125"/>
      <c r="AH555" s="125"/>
      <c r="AI555" s="125"/>
      <c r="AJ555" s="125"/>
      <c r="AK555" s="125"/>
      <c r="AL555" s="125"/>
    </row>
    <row r="556" spans="25:38" x14ac:dyDescent="0.25">
      <c r="Y556" s="139"/>
      <c r="Z556" s="140"/>
      <c r="AA556" s="125"/>
      <c r="AB556" s="125"/>
      <c r="AC556" s="125"/>
      <c r="AD556" s="125"/>
      <c r="AE556" s="125"/>
      <c r="AF556" s="125"/>
      <c r="AG556" s="125"/>
      <c r="AH556" s="125"/>
      <c r="AI556" s="125"/>
      <c r="AJ556" s="125"/>
      <c r="AK556" s="125"/>
      <c r="AL556" s="125"/>
    </row>
    <row r="557" spans="25:38" x14ac:dyDescent="0.25">
      <c r="Y557" s="139"/>
      <c r="Z557" s="140"/>
      <c r="AA557" s="125"/>
      <c r="AB557" s="125"/>
      <c r="AC557" s="125"/>
      <c r="AD557" s="125"/>
      <c r="AE557" s="125"/>
      <c r="AF557" s="125"/>
      <c r="AG557" s="125"/>
      <c r="AH557" s="125"/>
      <c r="AI557" s="125"/>
      <c r="AJ557" s="125"/>
      <c r="AK557" s="125"/>
      <c r="AL557" s="125"/>
    </row>
    <row r="558" spans="25:38" x14ac:dyDescent="0.25">
      <c r="Y558" s="139"/>
      <c r="Z558" s="140"/>
      <c r="AA558" s="125"/>
      <c r="AB558" s="125"/>
      <c r="AC558" s="125"/>
      <c r="AD558" s="125"/>
      <c r="AE558" s="125"/>
      <c r="AF558" s="125"/>
      <c r="AG558" s="125"/>
      <c r="AH558" s="125"/>
      <c r="AI558" s="125"/>
      <c r="AJ558" s="125"/>
      <c r="AK558" s="125"/>
      <c r="AL558" s="125"/>
    </row>
    <row r="559" spans="25:38" x14ac:dyDescent="0.25">
      <c r="Y559" s="139"/>
      <c r="Z559" s="140"/>
      <c r="AA559" s="125"/>
      <c r="AB559" s="125"/>
      <c r="AC559" s="125"/>
      <c r="AD559" s="125"/>
      <c r="AE559" s="125"/>
      <c r="AF559" s="125"/>
      <c r="AG559" s="125"/>
      <c r="AH559" s="125"/>
      <c r="AI559" s="125"/>
      <c r="AJ559" s="125"/>
      <c r="AK559" s="125"/>
      <c r="AL559" s="125"/>
    </row>
    <row r="560" spans="25:38" x14ac:dyDescent="0.25">
      <c r="Y560" s="139"/>
      <c r="Z560" s="140"/>
      <c r="AA560" s="125"/>
      <c r="AB560" s="125"/>
      <c r="AC560" s="125"/>
      <c r="AD560" s="125"/>
      <c r="AE560" s="125"/>
      <c r="AF560" s="125"/>
      <c r="AG560" s="125"/>
      <c r="AH560" s="125"/>
      <c r="AI560" s="125"/>
      <c r="AJ560" s="125"/>
      <c r="AK560" s="125"/>
      <c r="AL560" s="125"/>
    </row>
    <row r="561" spans="25:38" x14ac:dyDescent="0.25">
      <c r="Y561" s="139"/>
      <c r="Z561" s="140"/>
      <c r="AA561" s="125"/>
      <c r="AB561" s="125"/>
      <c r="AC561" s="125"/>
      <c r="AD561" s="125"/>
      <c r="AE561" s="125"/>
      <c r="AF561" s="125"/>
      <c r="AG561" s="125"/>
      <c r="AH561" s="125"/>
      <c r="AI561" s="125"/>
      <c r="AJ561" s="125"/>
      <c r="AK561" s="125"/>
      <c r="AL561" s="125"/>
    </row>
    <row r="562" spans="25:38" x14ac:dyDescent="0.25">
      <c r="Y562" s="139"/>
      <c r="Z562" s="140"/>
      <c r="AA562" s="125"/>
      <c r="AB562" s="125"/>
      <c r="AC562" s="125"/>
      <c r="AD562" s="125"/>
      <c r="AE562" s="125"/>
      <c r="AF562" s="125"/>
      <c r="AG562" s="125"/>
      <c r="AH562" s="125"/>
      <c r="AI562" s="125"/>
      <c r="AJ562" s="125"/>
      <c r="AK562" s="125"/>
      <c r="AL562" s="125"/>
    </row>
    <row r="563" spans="25:38" x14ac:dyDescent="0.25">
      <c r="Y563" s="139"/>
      <c r="Z563" s="140"/>
      <c r="AA563" s="125"/>
      <c r="AB563" s="125"/>
      <c r="AC563" s="125"/>
      <c r="AD563" s="125"/>
      <c r="AE563" s="125"/>
      <c r="AF563" s="125"/>
      <c r="AG563" s="125"/>
      <c r="AH563" s="125"/>
      <c r="AI563" s="125"/>
      <c r="AJ563" s="125"/>
      <c r="AK563" s="125"/>
      <c r="AL563" s="125"/>
    </row>
    <row r="564" spans="25:38" x14ac:dyDescent="0.25">
      <c r="Y564" s="139"/>
      <c r="Z564" s="140"/>
      <c r="AA564" s="125"/>
      <c r="AB564" s="125"/>
      <c r="AC564" s="125"/>
      <c r="AD564" s="125"/>
      <c r="AE564" s="125"/>
      <c r="AF564" s="125"/>
      <c r="AG564" s="125"/>
      <c r="AH564" s="125"/>
      <c r="AI564" s="125"/>
      <c r="AJ564" s="125"/>
      <c r="AK564" s="125"/>
      <c r="AL564" s="125"/>
    </row>
    <row r="565" spans="25:38" x14ac:dyDescent="0.25">
      <c r="Y565" s="139"/>
      <c r="Z565" s="140"/>
      <c r="AA565" s="125"/>
      <c r="AB565" s="125"/>
      <c r="AC565" s="125"/>
      <c r="AD565" s="125"/>
      <c r="AE565" s="125"/>
      <c r="AF565" s="125"/>
      <c r="AG565" s="125"/>
      <c r="AH565" s="125"/>
      <c r="AI565" s="125"/>
      <c r="AJ565" s="125"/>
      <c r="AK565" s="125"/>
      <c r="AL565" s="125"/>
    </row>
    <row r="566" spans="25:38" x14ac:dyDescent="0.25">
      <c r="Y566" s="139"/>
      <c r="Z566" s="140"/>
      <c r="AA566" s="125"/>
      <c r="AB566" s="125"/>
      <c r="AC566" s="125"/>
      <c r="AD566" s="125"/>
      <c r="AE566" s="125"/>
      <c r="AF566" s="125"/>
      <c r="AG566" s="125"/>
      <c r="AH566" s="125"/>
      <c r="AI566" s="125"/>
      <c r="AJ566" s="125"/>
      <c r="AK566" s="125"/>
      <c r="AL566" s="125"/>
    </row>
    <row r="567" spans="25:38" x14ac:dyDescent="0.25">
      <c r="Y567" s="139"/>
      <c r="Z567" s="140"/>
      <c r="AA567" s="125"/>
      <c r="AB567" s="125"/>
      <c r="AC567" s="125"/>
      <c r="AD567" s="125"/>
      <c r="AE567" s="125"/>
      <c r="AF567" s="125"/>
      <c r="AG567" s="125"/>
      <c r="AH567" s="125"/>
      <c r="AI567" s="125"/>
      <c r="AJ567" s="125"/>
      <c r="AK567" s="125"/>
      <c r="AL567" s="125"/>
    </row>
    <row r="568" spans="25:38" x14ac:dyDescent="0.25">
      <c r="Y568" s="139"/>
      <c r="Z568" s="140"/>
      <c r="AA568" s="125"/>
      <c r="AB568" s="125"/>
      <c r="AC568" s="125"/>
      <c r="AD568" s="125"/>
      <c r="AE568" s="125"/>
      <c r="AF568" s="125"/>
      <c r="AG568" s="125"/>
      <c r="AH568" s="125"/>
      <c r="AI568" s="125"/>
      <c r="AJ568" s="125"/>
      <c r="AK568" s="125"/>
      <c r="AL568" s="125"/>
    </row>
    <row r="569" spans="25:38" x14ac:dyDescent="0.25">
      <c r="Y569" s="139"/>
      <c r="Z569" s="140"/>
      <c r="AA569" s="125"/>
      <c r="AB569" s="125"/>
      <c r="AC569" s="125"/>
      <c r="AD569" s="125"/>
      <c r="AE569" s="125"/>
      <c r="AF569" s="125"/>
      <c r="AG569" s="125"/>
      <c r="AH569" s="125"/>
      <c r="AI569" s="125"/>
      <c r="AJ569" s="125"/>
      <c r="AK569" s="125"/>
      <c r="AL569" s="125"/>
    </row>
    <row r="570" spans="25:38" x14ac:dyDescent="0.25">
      <c r="Y570" s="139"/>
      <c r="Z570" s="140"/>
      <c r="AA570" s="125"/>
      <c r="AB570" s="125"/>
      <c r="AC570" s="125"/>
      <c r="AD570" s="125"/>
      <c r="AE570" s="125"/>
      <c r="AF570" s="125"/>
      <c r="AG570" s="125"/>
      <c r="AH570" s="125"/>
      <c r="AI570" s="125"/>
      <c r="AJ570" s="125"/>
      <c r="AK570" s="125"/>
      <c r="AL570" s="125"/>
    </row>
    <row r="571" spans="25:38" x14ac:dyDescent="0.25">
      <c r="Y571" s="139"/>
      <c r="Z571" s="140"/>
      <c r="AA571" s="125"/>
      <c r="AB571" s="125"/>
      <c r="AC571" s="125"/>
      <c r="AD571" s="125"/>
      <c r="AE571" s="125"/>
      <c r="AF571" s="125"/>
      <c r="AG571" s="125"/>
      <c r="AH571" s="125"/>
      <c r="AI571" s="125"/>
      <c r="AJ571" s="125"/>
      <c r="AK571" s="125"/>
      <c r="AL571" s="125"/>
    </row>
    <row r="572" spans="25:38" x14ac:dyDescent="0.25">
      <c r="Y572" s="139"/>
      <c r="Z572" s="140"/>
      <c r="AA572" s="125"/>
      <c r="AB572" s="125"/>
      <c r="AC572" s="125"/>
      <c r="AD572" s="125"/>
      <c r="AE572" s="125"/>
      <c r="AF572" s="125"/>
      <c r="AG572" s="125"/>
      <c r="AH572" s="125"/>
      <c r="AI572" s="125"/>
      <c r="AJ572" s="125"/>
      <c r="AK572" s="125"/>
      <c r="AL572" s="125"/>
    </row>
    <row r="573" spans="25:38" x14ac:dyDescent="0.25">
      <c r="Y573" s="141"/>
      <c r="Z573" s="142"/>
      <c r="AA573" s="125"/>
      <c r="AB573" s="125"/>
      <c r="AC573" s="125"/>
      <c r="AD573" s="125"/>
      <c r="AE573" s="125"/>
      <c r="AF573" s="125"/>
      <c r="AG573" s="125"/>
      <c r="AH573" s="125"/>
      <c r="AI573" s="125"/>
      <c r="AJ573" s="125"/>
      <c r="AK573" s="125"/>
      <c r="AL573" s="125"/>
    </row>
    <row r="574" spans="25:38" x14ac:dyDescent="0.25">
      <c r="Y574" s="155"/>
      <c r="Z574" s="155"/>
      <c r="AA574" s="126"/>
      <c r="AB574" s="126"/>
      <c r="AC574" s="126"/>
      <c r="AD574" s="126"/>
      <c r="AE574" s="126"/>
      <c r="AF574" s="126"/>
      <c r="AG574" s="126"/>
      <c r="AH574" s="126"/>
      <c r="AI574" s="126"/>
      <c r="AJ574" s="126"/>
      <c r="AK574" s="126"/>
      <c r="AL574" s="126"/>
    </row>
    <row r="575" spans="25:38" x14ac:dyDescent="0.25">
      <c r="Y575" s="155"/>
      <c r="Z575" s="155"/>
      <c r="AA575" s="126"/>
      <c r="AB575" s="126"/>
      <c r="AC575" s="126"/>
      <c r="AD575" s="126"/>
      <c r="AE575" s="126"/>
      <c r="AF575" s="126"/>
      <c r="AG575" s="126"/>
      <c r="AH575" s="126"/>
      <c r="AI575" s="126"/>
      <c r="AJ575" s="126"/>
      <c r="AK575" s="126"/>
      <c r="AL575" s="126"/>
    </row>
    <row r="576" spans="25:38" x14ac:dyDescent="0.25">
      <c r="Y576" s="155"/>
      <c r="Z576" s="155"/>
      <c r="AA576" s="126"/>
      <c r="AB576" s="126"/>
      <c r="AC576" s="126"/>
      <c r="AD576" s="126"/>
      <c r="AE576" s="126"/>
      <c r="AF576" s="126"/>
      <c r="AG576" s="126"/>
      <c r="AH576" s="126"/>
      <c r="AI576" s="126"/>
      <c r="AJ576" s="126"/>
      <c r="AK576" s="126"/>
      <c r="AL576" s="126"/>
    </row>
    <row r="577" spans="25:38" x14ac:dyDescent="0.25">
      <c r="Y577" s="155"/>
      <c r="Z577" s="155"/>
      <c r="AA577" s="126"/>
      <c r="AB577" s="126"/>
      <c r="AC577" s="126"/>
      <c r="AD577" s="126"/>
      <c r="AE577" s="126"/>
      <c r="AF577" s="126"/>
      <c r="AG577" s="126"/>
      <c r="AH577" s="126"/>
      <c r="AI577" s="126"/>
      <c r="AJ577" s="126"/>
      <c r="AK577" s="126"/>
      <c r="AL577" s="126"/>
    </row>
    <row r="578" spans="25:38" x14ac:dyDescent="0.25">
      <c r="Y578" s="155"/>
      <c r="Z578" s="155"/>
      <c r="AA578" s="126"/>
      <c r="AB578" s="126"/>
      <c r="AC578" s="126"/>
      <c r="AD578" s="126"/>
      <c r="AE578" s="126"/>
      <c r="AF578" s="126"/>
      <c r="AG578" s="126"/>
      <c r="AH578" s="126"/>
      <c r="AI578" s="126"/>
      <c r="AJ578" s="126"/>
      <c r="AK578" s="126"/>
      <c r="AL578" s="126"/>
    </row>
    <row r="579" spans="25:38" x14ac:dyDescent="0.25">
      <c r="Y579" s="155"/>
      <c r="Z579" s="155"/>
      <c r="AA579" s="126"/>
      <c r="AB579" s="126"/>
      <c r="AC579" s="126"/>
      <c r="AD579" s="126"/>
      <c r="AE579" s="126"/>
      <c r="AF579" s="126"/>
      <c r="AG579" s="126"/>
      <c r="AH579" s="126"/>
      <c r="AI579" s="126"/>
      <c r="AJ579" s="126"/>
      <c r="AK579" s="126"/>
      <c r="AL579" s="126"/>
    </row>
    <row r="580" spans="25:38" x14ac:dyDescent="0.25">
      <c r="Y580" s="155"/>
      <c r="Z580" s="155"/>
      <c r="AA580" s="126"/>
      <c r="AB580" s="126"/>
      <c r="AC580" s="126"/>
      <c r="AD580" s="126"/>
      <c r="AE580" s="126"/>
      <c r="AF580" s="126"/>
      <c r="AG580" s="126"/>
      <c r="AH580" s="126"/>
      <c r="AI580" s="126"/>
      <c r="AJ580" s="126"/>
      <c r="AK580" s="126"/>
      <c r="AL580" s="126"/>
    </row>
    <row r="581" spans="25:38" x14ac:dyDescent="0.25">
      <c r="Y581" s="155"/>
      <c r="Z581" s="155"/>
      <c r="AA581" s="126"/>
      <c r="AB581" s="126"/>
      <c r="AC581" s="126"/>
      <c r="AD581" s="126"/>
      <c r="AE581" s="126"/>
      <c r="AF581" s="126"/>
      <c r="AG581" s="126"/>
      <c r="AH581" s="126"/>
      <c r="AI581" s="126"/>
      <c r="AJ581" s="126"/>
      <c r="AK581" s="126"/>
      <c r="AL581" s="126"/>
    </row>
    <row r="582" spans="25:38" x14ac:dyDescent="0.25">
      <c r="Y582" s="155"/>
      <c r="Z582" s="155"/>
      <c r="AA582" s="126"/>
      <c r="AB582" s="126"/>
      <c r="AC582" s="126"/>
      <c r="AD582" s="126"/>
      <c r="AE582" s="126"/>
      <c r="AF582" s="126"/>
      <c r="AG582" s="126"/>
      <c r="AH582" s="126"/>
      <c r="AI582" s="126"/>
      <c r="AJ582" s="126"/>
      <c r="AK582" s="126"/>
      <c r="AL582" s="126"/>
    </row>
    <row r="583" spans="25:38" x14ac:dyDescent="0.25">
      <c r="Y583" s="155"/>
      <c r="Z583" s="155"/>
      <c r="AA583" s="126"/>
      <c r="AB583" s="126"/>
      <c r="AC583" s="126"/>
      <c r="AD583" s="126"/>
      <c r="AE583" s="126"/>
      <c r="AF583" s="126"/>
      <c r="AG583" s="126"/>
      <c r="AH583" s="126"/>
      <c r="AI583" s="126"/>
      <c r="AJ583" s="126"/>
      <c r="AK583" s="126"/>
      <c r="AL583" s="126"/>
    </row>
    <row r="584" spans="25:38" x14ac:dyDescent="0.25">
      <c r="Y584" s="155"/>
      <c r="Z584" s="155"/>
      <c r="AA584" s="126"/>
      <c r="AB584" s="126"/>
      <c r="AC584" s="126"/>
      <c r="AD584" s="126"/>
      <c r="AE584" s="126"/>
      <c r="AF584" s="126"/>
      <c r="AG584" s="126"/>
      <c r="AH584" s="126"/>
      <c r="AI584" s="126"/>
      <c r="AJ584" s="126"/>
      <c r="AK584" s="126"/>
      <c r="AL584" s="126"/>
    </row>
    <row r="585" spans="25:38" x14ac:dyDescent="0.25">
      <c r="Y585" s="155"/>
      <c r="Z585" s="155"/>
      <c r="AA585" s="126"/>
      <c r="AB585" s="126"/>
      <c r="AC585" s="126"/>
      <c r="AD585" s="126"/>
      <c r="AE585" s="126"/>
      <c r="AF585" s="126"/>
      <c r="AG585" s="126"/>
      <c r="AH585" s="126"/>
      <c r="AI585" s="126"/>
      <c r="AJ585" s="126"/>
      <c r="AK585" s="126"/>
      <c r="AL585" s="126"/>
    </row>
    <row r="586" spans="25:38" x14ac:dyDescent="0.25">
      <c r="Y586" s="155"/>
      <c r="Z586" s="155"/>
      <c r="AA586" s="126"/>
      <c r="AB586" s="126"/>
      <c r="AC586" s="126"/>
      <c r="AD586" s="126"/>
      <c r="AE586" s="126"/>
      <c r="AF586" s="126"/>
      <c r="AG586" s="126"/>
      <c r="AH586" s="126"/>
      <c r="AI586" s="126"/>
      <c r="AJ586" s="126"/>
      <c r="AK586" s="126"/>
      <c r="AL586" s="126"/>
    </row>
    <row r="587" spans="25:38" x14ac:dyDescent="0.25">
      <c r="Y587" s="155"/>
      <c r="Z587" s="155"/>
      <c r="AA587" s="126"/>
      <c r="AB587" s="126"/>
      <c r="AC587" s="126"/>
      <c r="AD587" s="126"/>
      <c r="AE587" s="126"/>
      <c r="AF587" s="126"/>
      <c r="AG587" s="126"/>
      <c r="AH587" s="126"/>
      <c r="AI587" s="126"/>
      <c r="AJ587" s="126"/>
      <c r="AK587" s="126"/>
      <c r="AL587" s="126"/>
    </row>
    <row r="588" spans="25:38" x14ac:dyDescent="0.25">
      <c r="Y588" s="155"/>
      <c r="Z588" s="155"/>
      <c r="AA588" s="126"/>
      <c r="AB588" s="126"/>
      <c r="AC588" s="126"/>
      <c r="AD588" s="126"/>
      <c r="AE588" s="126"/>
      <c r="AF588" s="126"/>
      <c r="AG588" s="126"/>
      <c r="AH588" s="126"/>
      <c r="AI588" s="126"/>
      <c r="AJ588" s="126"/>
      <c r="AK588" s="126"/>
      <c r="AL588" s="126"/>
    </row>
    <row r="589" spans="25:38" x14ac:dyDescent="0.25">
      <c r="Y589" s="155"/>
      <c r="Z589" s="155"/>
      <c r="AA589" s="126"/>
      <c r="AB589" s="126"/>
      <c r="AC589" s="126"/>
      <c r="AD589" s="126"/>
      <c r="AE589" s="126"/>
      <c r="AF589" s="126"/>
      <c r="AG589" s="126"/>
      <c r="AH589" s="126"/>
      <c r="AI589" s="126"/>
      <c r="AJ589" s="126"/>
      <c r="AK589" s="126"/>
      <c r="AL589" s="126"/>
    </row>
    <row r="590" spans="25:38" x14ac:dyDescent="0.25">
      <c r="Y590" s="155"/>
      <c r="Z590" s="155"/>
      <c r="AA590" s="126"/>
      <c r="AB590" s="126"/>
      <c r="AC590" s="126"/>
      <c r="AD590" s="126"/>
      <c r="AE590" s="126"/>
      <c r="AF590" s="126"/>
      <c r="AG590" s="126"/>
      <c r="AH590" s="126"/>
      <c r="AI590" s="126"/>
      <c r="AJ590" s="126"/>
      <c r="AK590" s="126"/>
      <c r="AL590" s="126"/>
    </row>
    <row r="591" spans="25:38" x14ac:dyDescent="0.25">
      <c r="Y591" s="155"/>
      <c r="Z591" s="155"/>
      <c r="AA591" s="126"/>
      <c r="AB591" s="126"/>
      <c r="AC591" s="126"/>
      <c r="AD591" s="126"/>
      <c r="AE591" s="126"/>
      <c r="AF591" s="126"/>
      <c r="AG591" s="126"/>
      <c r="AH591" s="126"/>
      <c r="AI591" s="126"/>
      <c r="AJ591" s="126"/>
      <c r="AK591" s="126"/>
      <c r="AL591" s="126"/>
    </row>
    <row r="592" spans="25:38" x14ac:dyDescent="0.25">
      <c r="Y592" s="155"/>
      <c r="Z592" s="155"/>
      <c r="AA592" s="126"/>
      <c r="AB592" s="126"/>
      <c r="AC592" s="126"/>
      <c r="AD592" s="126"/>
      <c r="AE592" s="126"/>
      <c r="AF592" s="126"/>
      <c r="AG592" s="126"/>
      <c r="AH592" s="126"/>
      <c r="AI592" s="126"/>
      <c r="AJ592" s="126"/>
      <c r="AK592" s="126"/>
      <c r="AL592" s="126"/>
    </row>
    <row r="593" spans="25:38" x14ac:dyDescent="0.25">
      <c r="Y593" s="155"/>
      <c r="Z593" s="155"/>
      <c r="AA593" s="126"/>
      <c r="AB593" s="126"/>
      <c r="AC593" s="126"/>
      <c r="AD593" s="126"/>
      <c r="AE593" s="126"/>
      <c r="AF593" s="126"/>
      <c r="AG593" s="126"/>
      <c r="AH593" s="126"/>
      <c r="AI593" s="126"/>
      <c r="AJ593" s="126"/>
      <c r="AK593" s="126"/>
      <c r="AL593" s="126"/>
    </row>
    <row r="594" spans="25:38" x14ac:dyDescent="0.25">
      <c r="Y594" s="155"/>
      <c r="Z594" s="155"/>
      <c r="AA594" s="126"/>
      <c r="AB594" s="126"/>
      <c r="AC594" s="126"/>
      <c r="AD594" s="126"/>
      <c r="AE594" s="126"/>
      <c r="AF594" s="126"/>
      <c r="AG594" s="126"/>
      <c r="AH594" s="126"/>
      <c r="AI594" s="126"/>
      <c r="AJ594" s="126"/>
      <c r="AK594" s="126"/>
      <c r="AL594" s="126"/>
    </row>
    <row r="595" spans="25:38" x14ac:dyDescent="0.25">
      <c r="Y595" s="155"/>
      <c r="Z595" s="155"/>
      <c r="AA595" s="126"/>
      <c r="AB595" s="126"/>
      <c r="AC595" s="126"/>
      <c r="AD595" s="126"/>
      <c r="AE595" s="126"/>
      <c r="AF595" s="126"/>
      <c r="AG595" s="126"/>
      <c r="AH595" s="126"/>
      <c r="AI595" s="126"/>
      <c r="AJ595" s="126"/>
      <c r="AK595" s="126"/>
      <c r="AL595" s="126"/>
    </row>
    <row r="596" spans="25:38" x14ac:dyDescent="0.25">
      <c r="Y596" s="155"/>
      <c r="Z596" s="155"/>
      <c r="AA596" s="126"/>
      <c r="AB596" s="126"/>
      <c r="AC596" s="126"/>
      <c r="AD596" s="126"/>
      <c r="AE596" s="126"/>
      <c r="AF596" s="126"/>
      <c r="AG596" s="126"/>
      <c r="AH596" s="126"/>
      <c r="AI596" s="126"/>
      <c r="AJ596" s="126"/>
      <c r="AK596" s="126"/>
      <c r="AL596" s="126"/>
    </row>
    <row r="597" spans="25:38" x14ac:dyDescent="0.25">
      <c r="Y597" s="155"/>
      <c r="Z597" s="155"/>
      <c r="AA597" s="126"/>
      <c r="AB597" s="126"/>
      <c r="AC597" s="126"/>
      <c r="AD597" s="126"/>
      <c r="AE597" s="126"/>
      <c r="AF597" s="126"/>
      <c r="AG597" s="126"/>
      <c r="AH597" s="126"/>
      <c r="AI597" s="126"/>
      <c r="AJ597" s="126"/>
      <c r="AK597" s="126"/>
      <c r="AL597" s="126"/>
    </row>
    <row r="598" spans="25:38" x14ac:dyDescent="0.25">
      <c r="Y598" s="155"/>
      <c r="Z598" s="155"/>
      <c r="AA598" s="126"/>
      <c r="AB598" s="126"/>
      <c r="AC598" s="126"/>
      <c r="AD598" s="126"/>
      <c r="AE598" s="126"/>
      <c r="AF598" s="126"/>
      <c r="AG598" s="126"/>
      <c r="AH598" s="126"/>
      <c r="AI598" s="126"/>
      <c r="AJ598" s="126"/>
      <c r="AK598" s="126"/>
      <c r="AL598" s="126"/>
    </row>
    <row r="599" spans="25:38" x14ac:dyDescent="0.25">
      <c r="Y599" s="155"/>
      <c r="Z599" s="155"/>
      <c r="AA599" s="126"/>
      <c r="AB599" s="126"/>
      <c r="AC599" s="126"/>
      <c r="AD599" s="126"/>
      <c r="AE599" s="126"/>
      <c r="AF599" s="126"/>
      <c r="AG599" s="126"/>
      <c r="AH599" s="126"/>
      <c r="AI599" s="126"/>
      <c r="AJ599" s="126"/>
      <c r="AK599" s="126"/>
      <c r="AL599" s="126"/>
    </row>
    <row r="600" spans="25:38" x14ac:dyDescent="0.25">
      <c r="Y600" s="155"/>
      <c r="Z600" s="155"/>
      <c r="AA600" s="126"/>
      <c r="AB600" s="126"/>
      <c r="AC600" s="126"/>
      <c r="AD600" s="126"/>
      <c r="AE600" s="126"/>
      <c r="AF600" s="126"/>
      <c r="AG600" s="126"/>
      <c r="AH600" s="126"/>
      <c r="AI600" s="126"/>
      <c r="AJ600" s="126"/>
      <c r="AK600" s="126"/>
      <c r="AL600" s="126"/>
    </row>
    <row r="601" spans="25:38" x14ac:dyDescent="0.25">
      <c r="Y601" s="155"/>
      <c r="Z601" s="155"/>
      <c r="AA601" s="126"/>
      <c r="AB601" s="126"/>
      <c r="AC601" s="126"/>
      <c r="AD601" s="126"/>
      <c r="AE601" s="126"/>
      <c r="AF601" s="126"/>
      <c r="AG601" s="126"/>
      <c r="AH601" s="126"/>
      <c r="AI601" s="126"/>
      <c r="AJ601" s="126"/>
      <c r="AK601" s="126"/>
      <c r="AL601" s="126"/>
    </row>
    <row r="602" spans="25:38" x14ac:dyDescent="0.25">
      <c r="Y602" s="155"/>
      <c r="Z602" s="155"/>
      <c r="AA602" s="126"/>
      <c r="AB602" s="126"/>
      <c r="AC602" s="126"/>
      <c r="AD602" s="126"/>
      <c r="AE602" s="126"/>
      <c r="AF602" s="126"/>
      <c r="AG602" s="126"/>
      <c r="AH602" s="126"/>
      <c r="AI602" s="126"/>
      <c r="AJ602" s="126"/>
      <c r="AK602" s="126"/>
      <c r="AL602" s="126"/>
    </row>
    <row r="603" spans="25:38" x14ac:dyDescent="0.25">
      <c r="Y603" s="155"/>
      <c r="Z603" s="155"/>
      <c r="AA603" s="126"/>
      <c r="AB603" s="126"/>
      <c r="AC603" s="126"/>
      <c r="AD603" s="126"/>
      <c r="AE603" s="126"/>
      <c r="AF603" s="126"/>
      <c r="AG603" s="126"/>
      <c r="AH603" s="126"/>
      <c r="AI603" s="126"/>
      <c r="AJ603" s="126"/>
      <c r="AK603" s="126"/>
      <c r="AL603" s="126"/>
    </row>
  </sheetData>
  <mergeCells count="90">
    <mergeCell ref="Y2:AD2"/>
    <mergeCell ref="Y3:Z3"/>
    <mergeCell ref="B20:N20"/>
    <mergeCell ref="B21:N21"/>
    <mergeCell ref="B22:N22"/>
    <mergeCell ref="B2:W2"/>
    <mergeCell ref="O3:T3"/>
    <mergeCell ref="O4:T4"/>
    <mergeCell ref="O5:T5"/>
    <mergeCell ref="O6:T6"/>
    <mergeCell ref="B3:N3"/>
    <mergeCell ref="B4:N4"/>
    <mergeCell ref="B5:N5"/>
    <mergeCell ref="B6:N6"/>
    <mergeCell ref="B16:N16"/>
    <mergeCell ref="B17:N17"/>
    <mergeCell ref="B18:N18"/>
    <mergeCell ref="O20:T20"/>
    <mergeCell ref="AA214:AL243"/>
    <mergeCell ref="Y94:Z123"/>
    <mergeCell ref="AA124:AL153"/>
    <mergeCell ref="AA154:AL183"/>
    <mergeCell ref="AA184:AL213"/>
    <mergeCell ref="B25:W27"/>
    <mergeCell ref="O23:T23"/>
    <mergeCell ref="O12:T12"/>
    <mergeCell ref="O13:T13"/>
    <mergeCell ref="O14:T14"/>
    <mergeCell ref="O15:T15"/>
    <mergeCell ref="B15:N15"/>
    <mergeCell ref="O7:T7"/>
    <mergeCell ref="Y574:Z603"/>
    <mergeCell ref="Y4:Z33"/>
    <mergeCell ref="L24:N24"/>
    <mergeCell ref="Y304:Z333"/>
    <mergeCell ref="Y334:Z363"/>
    <mergeCell ref="Y364:Z393"/>
    <mergeCell ref="Y394:Z423"/>
    <mergeCell ref="Y424:Z453"/>
    <mergeCell ref="B19:N19"/>
    <mergeCell ref="O21:T21"/>
    <mergeCell ref="O22:T22"/>
    <mergeCell ref="O19:T19"/>
    <mergeCell ref="Y454:Z483"/>
    <mergeCell ref="B7:N7"/>
    <mergeCell ref="B24:K24"/>
    <mergeCell ref="Y544:Z573"/>
    <mergeCell ref="O24:T24"/>
    <mergeCell ref="B8:N8"/>
    <mergeCell ref="B9:N9"/>
    <mergeCell ref="B10:N10"/>
    <mergeCell ref="B11:N11"/>
    <mergeCell ref="B12:N12"/>
    <mergeCell ref="B13:N13"/>
    <mergeCell ref="B14:N14"/>
    <mergeCell ref="O16:T16"/>
    <mergeCell ref="O17:T17"/>
    <mergeCell ref="O8:T8"/>
    <mergeCell ref="O9:T9"/>
    <mergeCell ref="O10:T10"/>
    <mergeCell ref="O18:T18"/>
    <mergeCell ref="O11:T11"/>
    <mergeCell ref="Y484:Z513"/>
    <mergeCell ref="Y34:Z63"/>
    <mergeCell ref="Y64:Z93"/>
    <mergeCell ref="B23:N23"/>
    <mergeCell ref="Y514:Z543"/>
    <mergeCell ref="Y124:Z153"/>
    <mergeCell ref="Y154:Z183"/>
    <mergeCell ref="Y184:Z213"/>
    <mergeCell ref="Y214:Z243"/>
    <mergeCell ref="Y244:Z273"/>
    <mergeCell ref="Y274:Z303"/>
    <mergeCell ref="AA3:AL3"/>
    <mergeCell ref="AA4:AL33"/>
    <mergeCell ref="AA34:AL63"/>
    <mergeCell ref="AA64:AL93"/>
    <mergeCell ref="AA94:AL123"/>
    <mergeCell ref="AA244:AL273"/>
    <mergeCell ref="AA274:AL303"/>
    <mergeCell ref="AA304:AL333"/>
    <mergeCell ref="AA334:AL363"/>
    <mergeCell ref="AA364:AL393"/>
    <mergeCell ref="AA544:AL573"/>
    <mergeCell ref="AA574:AL603"/>
    <mergeCell ref="AA394:AL423"/>
    <mergeCell ref="AA424:AL453"/>
    <mergeCell ref="AA454:AL483"/>
    <mergeCell ref="AA484:AL513"/>
    <mergeCell ref="AA514:AL543"/>
  </mergeCells>
  <phoneticPr fontId="14" type="noConversion"/>
  <hyperlinks>
    <hyperlink ref="B4" r:id="rId1" xr:uid="{51F258AD-B7B7-40D8-A385-D1902C44C805}"/>
    <hyperlink ref="B5" r:id="rId2" xr:uid="{FA58A251-B97B-4841-8AAB-E1988BA6D981}"/>
    <hyperlink ref="B6" r:id="rId3" xr:uid="{E1F16EB8-081E-4D95-AD7B-14C25812AA2D}"/>
    <hyperlink ref="B7" r:id="rId4" xr:uid="{05B7A671-D843-4947-BDEC-659A33EB625E}"/>
    <hyperlink ref="B8" r:id="rId5" xr:uid="{551410EE-BB17-4433-AEA8-80F42FBD9392}"/>
    <hyperlink ref="B9" r:id="rId6" xr:uid="{1773BA9C-C40C-41CD-B75B-D2397D159F31}"/>
    <hyperlink ref="B10" r:id="rId7" xr:uid="{0908E282-28CA-41C7-8FA2-74F598D9DBDD}"/>
    <hyperlink ref="B11" r:id="rId8" xr:uid="{F79B5BFD-C755-4DD1-8CCE-8C41B9BEE5F7}"/>
  </hyperlinks>
  <pageMargins left="0.7" right="0.7" top="0.75" bottom="0.75" header="0.3" footer="0.3"/>
  <pageSetup paperSize="9" orientation="portrait" r:id="rId9"/>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2012EA-5DF6-47B0-B959-43A8765ED80A}">
  <sheetPr filterMode="1"/>
  <dimension ref="A1:AP101"/>
  <sheetViews>
    <sheetView tabSelected="1" zoomScale="80" zoomScaleNormal="80" workbookViewId="0">
      <pane xSplit="3" ySplit="3" topLeftCell="L4" activePane="bottomRight" state="frozen"/>
      <selection pane="topRight" activeCell="G1" sqref="G1"/>
      <selection pane="bottomLeft" activeCell="A4" sqref="A4"/>
      <selection pane="bottomRight" activeCell="T101" sqref="T101"/>
    </sheetView>
  </sheetViews>
  <sheetFormatPr defaultRowHeight="14" x14ac:dyDescent="0.25"/>
  <cols>
    <col min="1" max="1" width="12.81640625" customWidth="1"/>
    <col min="2" max="2" width="15.81640625" customWidth="1"/>
    <col min="3" max="3" width="116.453125" bestFit="1" customWidth="1"/>
    <col min="4" max="4" width="20.6328125" customWidth="1"/>
    <col min="5" max="5" width="83.7265625" customWidth="1"/>
    <col min="6" max="6" width="20.54296875" customWidth="1"/>
    <col min="7" max="7" width="91.1796875" customWidth="1"/>
    <col min="8" max="8" width="21.54296875" bestFit="1" customWidth="1"/>
    <col min="9" max="9" width="68" customWidth="1"/>
    <col min="10" max="10" width="21.54296875" customWidth="1"/>
    <col min="11" max="11" width="67.81640625" customWidth="1"/>
    <col min="12" max="12" width="21.08984375" customWidth="1"/>
    <col min="13" max="13" width="87.81640625" customWidth="1"/>
    <col min="14" max="14" width="20" customWidth="1"/>
    <col min="15" max="15" width="69.08984375" customWidth="1"/>
    <col min="16" max="16" width="21.08984375" customWidth="1"/>
    <col min="17" max="17" width="57.54296875" customWidth="1"/>
    <col min="18" max="18" width="20.08984375" customWidth="1"/>
    <col min="19" max="19" width="59.26953125" customWidth="1"/>
    <col min="20" max="40" width="25.54296875" customWidth="1"/>
    <col min="41" max="41" width="10.26953125" customWidth="1"/>
    <col min="42" max="42" width="26.81640625" style="18" customWidth="1"/>
  </cols>
  <sheetData>
    <row r="1" spans="1:42" s="28" customFormat="1" x14ac:dyDescent="0.3">
      <c r="A1" s="21"/>
      <c r="B1" s="21"/>
      <c r="C1" s="21"/>
      <c r="D1" s="171" t="s">
        <v>24</v>
      </c>
      <c r="E1" s="171"/>
      <c r="F1" s="172" t="s">
        <v>24</v>
      </c>
      <c r="G1" s="172"/>
      <c r="H1" s="171" t="s">
        <v>24</v>
      </c>
      <c r="I1" s="171"/>
      <c r="J1" s="172" t="s">
        <v>24</v>
      </c>
      <c r="K1" s="172"/>
      <c r="L1" s="171" t="s">
        <v>24</v>
      </c>
      <c r="M1" s="171"/>
      <c r="N1" s="172" t="s">
        <v>24</v>
      </c>
      <c r="O1" s="172"/>
      <c r="P1" s="171" t="s">
        <v>24</v>
      </c>
      <c r="Q1" s="171"/>
      <c r="R1" s="172" t="s">
        <v>24</v>
      </c>
      <c r="S1" s="172"/>
      <c r="T1" s="20"/>
    </row>
    <row r="2" spans="1:42" ht="15" customHeight="1" x14ac:dyDescent="0.25">
      <c r="A2" s="21"/>
      <c r="B2" s="21"/>
      <c r="C2" s="21"/>
      <c r="D2" s="170" t="s">
        <v>219</v>
      </c>
      <c r="E2" s="170"/>
      <c r="F2" s="170" t="s">
        <v>330</v>
      </c>
      <c r="G2" s="170"/>
      <c r="H2" s="170" t="s">
        <v>378</v>
      </c>
      <c r="I2" s="170"/>
      <c r="J2" s="170" t="s">
        <v>221</v>
      </c>
      <c r="K2" s="170"/>
      <c r="L2" s="170" t="s">
        <v>332</v>
      </c>
      <c r="M2" s="170"/>
      <c r="N2" s="170" t="s">
        <v>309</v>
      </c>
      <c r="O2" s="170"/>
      <c r="P2" s="170" t="s">
        <v>388</v>
      </c>
      <c r="Q2" s="170"/>
      <c r="R2" s="170" t="s">
        <v>331</v>
      </c>
      <c r="S2" s="170"/>
      <c r="T2" s="20"/>
      <c r="AP2"/>
    </row>
    <row r="3" spans="1:42" s="28" customFormat="1" ht="42" x14ac:dyDescent="0.25">
      <c r="A3" s="2" t="s">
        <v>25</v>
      </c>
      <c r="B3" s="2" t="s">
        <v>7</v>
      </c>
      <c r="C3" s="2" t="s">
        <v>26</v>
      </c>
      <c r="D3" s="2" t="s">
        <v>27</v>
      </c>
      <c r="E3" s="2" t="s">
        <v>12</v>
      </c>
      <c r="F3" s="34" t="s">
        <v>27</v>
      </c>
      <c r="G3" s="34" t="s">
        <v>12</v>
      </c>
      <c r="H3" s="2" t="s">
        <v>27</v>
      </c>
      <c r="I3" s="2" t="s">
        <v>12</v>
      </c>
      <c r="J3" s="34" t="s">
        <v>27</v>
      </c>
      <c r="K3" s="34" t="s">
        <v>12</v>
      </c>
      <c r="L3" s="2" t="s">
        <v>27</v>
      </c>
      <c r="M3" s="2" t="s">
        <v>12</v>
      </c>
      <c r="N3" s="34" t="s">
        <v>27</v>
      </c>
      <c r="O3" s="34" t="s">
        <v>12</v>
      </c>
      <c r="P3" s="2" t="s">
        <v>27</v>
      </c>
      <c r="Q3" s="2" t="s">
        <v>12</v>
      </c>
      <c r="R3" s="34" t="s">
        <v>27</v>
      </c>
      <c r="S3" s="34" t="s">
        <v>12</v>
      </c>
      <c r="T3" s="19" t="s">
        <v>15</v>
      </c>
    </row>
    <row r="4" spans="1:42" ht="28" hidden="1" x14ac:dyDescent="0.25">
      <c r="A4" s="7"/>
      <c r="B4" s="7"/>
      <c r="C4" s="26" t="s">
        <v>28</v>
      </c>
      <c r="D4" s="7"/>
      <c r="E4" s="7"/>
      <c r="F4" s="35"/>
      <c r="G4" s="35"/>
      <c r="H4" s="7"/>
      <c r="I4" s="7"/>
      <c r="J4" s="35"/>
      <c r="K4" s="35"/>
      <c r="L4" s="7"/>
      <c r="M4" s="7"/>
      <c r="N4" s="35"/>
      <c r="O4" s="35"/>
      <c r="P4" s="7"/>
      <c r="Q4" s="7"/>
      <c r="R4" s="35"/>
      <c r="S4" s="35"/>
      <c r="T4" s="19" t="str">
        <f>IF(OR(D4="MV",F4="MV",H4="MV",J4="MV",L4="MV",N4="MV",P4="MV",R4="MV",),"Esineb mittevastavus","")</f>
        <v/>
      </c>
      <c r="AP4"/>
    </row>
    <row r="5" spans="1:42" ht="42" hidden="1" x14ac:dyDescent="0.25">
      <c r="A5" s="8" t="s">
        <v>222</v>
      </c>
      <c r="B5" s="3" t="s">
        <v>29</v>
      </c>
      <c r="C5" s="3" t="s">
        <v>30</v>
      </c>
      <c r="D5" s="29" t="s">
        <v>220</v>
      </c>
      <c r="E5" s="29"/>
      <c r="F5" s="29" t="s">
        <v>220</v>
      </c>
      <c r="G5" s="29"/>
      <c r="H5" s="29" t="s">
        <v>220</v>
      </c>
      <c r="I5" s="29"/>
      <c r="J5" s="29" t="s">
        <v>220</v>
      </c>
      <c r="K5" s="29"/>
      <c r="L5" s="29" t="s">
        <v>220</v>
      </c>
      <c r="M5" s="29"/>
      <c r="N5" s="29" t="s">
        <v>220</v>
      </c>
      <c r="O5" s="29"/>
      <c r="P5" s="29" t="s">
        <v>220</v>
      </c>
      <c r="Q5" s="29"/>
      <c r="R5" s="29" t="s">
        <v>220</v>
      </c>
      <c r="S5" s="29"/>
      <c r="T5" s="19" t="str">
        <f t="shared" ref="T5:T68" si="0">IF(OR(D5="MV",F5="MV",H5="MV",J5="MV",L5="MV",N5="MV",P5="MV",R5="MV",),"Esineb mittevastavus","")</f>
        <v/>
      </c>
      <c r="AP5"/>
    </row>
    <row r="6" spans="1:42" ht="28" hidden="1" x14ac:dyDescent="0.25">
      <c r="A6" s="8" t="s">
        <v>227</v>
      </c>
      <c r="B6" s="3" t="s">
        <v>31</v>
      </c>
      <c r="C6" s="3" t="s">
        <v>32</v>
      </c>
      <c r="D6" s="29" t="s">
        <v>220</v>
      </c>
      <c r="E6" s="29"/>
      <c r="F6" s="29" t="s">
        <v>220</v>
      </c>
      <c r="G6" s="29"/>
      <c r="H6" s="29" t="s">
        <v>220</v>
      </c>
      <c r="I6" s="29"/>
      <c r="J6" s="29" t="s">
        <v>220</v>
      </c>
      <c r="K6" s="29"/>
      <c r="L6" s="29" t="s">
        <v>220</v>
      </c>
      <c r="M6" s="29"/>
      <c r="N6" s="29" t="s">
        <v>220</v>
      </c>
      <c r="O6" s="29"/>
      <c r="P6" s="29" t="s">
        <v>220</v>
      </c>
      <c r="Q6" s="29"/>
      <c r="R6" s="29" t="s">
        <v>220</v>
      </c>
      <c r="S6" s="29"/>
      <c r="T6" s="19" t="str">
        <f t="shared" si="0"/>
        <v/>
      </c>
      <c r="AP6"/>
    </row>
    <row r="7" spans="1:42" ht="153.5" hidden="1" customHeight="1" x14ac:dyDescent="0.25">
      <c r="A7" s="9" t="s">
        <v>33</v>
      </c>
      <c r="B7" s="3" t="s">
        <v>34</v>
      </c>
      <c r="C7" s="3" t="s">
        <v>35</v>
      </c>
      <c r="D7" s="8" t="s">
        <v>218</v>
      </c>
      <c r="E7" s="8"/>
      <c r="F7" s="8" t="s">
        <v>218</v>
      </c>
      <c r="G7" s="8"/>
      <c r="H7" s="8" t="s">
        <v>218</v>
      </c>
      <c r="I7" s="8"/>
      <c r="J7" s="8" t="s">
        <v>218</v>
      </c>
      <c r="K7" s="8"/>
      <c r="L7" s="8" t="s">
        <v>218</v>
      </c>
      <c r="M7" s="8"/>
      <c r="N7" s="8" t="s">
        <v>218</v>
      </c>
      <c r="O7" s="8"/>
      <c r="P7" s="27" t="s">
        <v>218</v>
      </c>
      <c r="Q7" s="27"/>
      <c r="R7" s="8" t="s">
        <v>218</v>
      </c>
      <c r="S7" s="8"/>
      <c r="T7" s="19" t="str">
        <f t="shared" si="0"/>
        <v/>
      </c>
      <c r="AP7"/>
    </row>
    <row r="8" spans="1:42" ht="98.5" x14ac:dyDescent="0.25">
      <c r="A8" s="9" t="s">
        <v>36</v>
      </c>
      <c r="B8" s="3" t="s">
        <v>37</v>
      </c>
      <c r="C8" s="3" t="s">
        <v>276</v>
      </c>
      <c r="D8" s="24" t="s">
        <v>18</v>
      </c>
      <c r="E8" s="24" t="s">
        <v>389</v>
      </c>
      <c r="F8" s="24" t="s">
        <v>18</v>
      </c>
      <c r="G8" s="24" t="s">
        <v>390</v>
      </c>
      <c r="H8" s="24" t="s">
        <v>18</v>
      </c>
      <c r="I8" s="24" t="s">
        <v>391</v>
      </c>
      <c r="J8" s="24" t="s">
        <v>18</v>
      </c>
      <c r="K8" s="24" t="s">
        <v>392</v>
      </c>
      <c r="L8" s="24" t="s">
        <v>18</v>
      </c>
      <c r="M8" s="24" t="s">
        <v>391</v>
      </c>
      <c r="N8" s="24" t="s">
        <v>18</v>
      </c>
      <c r="O8" s="24" t="s">
        <v>390</v>
      </c>
      <c r="P8" s="36" t="s">
        <v>18</v>
      </c>
      <c r="Q8" s="24" t="s">
        <v>391</v>
      </c>
      <c r="R8" s="24" t="s">
        <v>18</v>
      </c>
      <c r="S8" s="24" t="s">
        <v>393</v>
      </c>
      <c r="T8" s="19" t="str">
        <f t="shared" si="0"/>
        <v>Esineb mittevastavus</v>
      </c>
      <c r="AP8"/>
    </row>
    <row r="9" spans="1:42" ht="28" hidden="1" x14ac:dyDescent="0.25">
      <c r="A9" s="7"/>
      <c r="B9" s="7"/>
      <c r="C9" s="26" t="s">
        <v>277</v>
      </c>
      <c r="D9" s="7"/>
      <c r="E9" s="7"/>
      <c r="F9" s="7"/>
      <c r="G9" s="7"/>
      <c r="H9" s="7"/>
      <c r="I9" s="7"/>
      <c r="J9" s="35"/>
      <c r="K9" s="35"/>
      <c r="L9" s="7"/>
      <c r="M9" s="7"/>
      <c r="N9" s="35"/>
      <c r="O9" s="35"/>
      <c r="P9" s="7"/>
      <c r="Q9" s="7"/>
      <c r="R9" s="35"/>
      <c r="S9" s="35"/>
      <c r="T9" s="19" t="str">
        <f t="shared" si="0"/>
        <v/>
      </c>
      <c r="AP9"/>
    </row>
    <row r="10" spans="1:42" ht="84" hidden="1" x14ac:dyDescent="0.25">
      <c r="A10" s="9" t="s">
        <v>38</v>
      </c>
      <c r="B10" s="3" t="s">
        <v>39</v>
      </c>
      <c r="C10" s="3" t="s">
        <v>278</v>
      </c>
      <c r="D10" s="8" t="s">
        <v>218</v>
      </c>
      <c r="E10" s="8"/>
      <c r="F10" s="8" t="s">
        <v>218</v>
      </c>
      <c r="G10" s="8"/>
      <c r="H10" s="8" t="s">
        <v>218</v>
      </c>
      <c r="I10" s="8"/>
      <c r="J10" s="8" t="s">
        <v>218</v>
      </c>
      <c r="K10" s="8"/>
      <c r="L10" s="8" t="s">
        <v>218</v>
      </c>
      <c r="M10" s="8"/>
      <c r="N10" s="8" t="s">
        <v>218</v>
      </c>
      <c r="O10" s="8"/>
      <c r="P10" s="27" t="s">
        <v>218</v>
      </c>
      <c r="Q10" s="27"/>
      <c r="R10" s="8" t="s">
        <v>218</v>
      </c>
      <c r="S10" s="8"/>
      <c r="T10" s="19" t="str">
        <f t="shared" si="0"/>
        <v/>
      </c>
      <c r="AP10"/>
    </row>
    <row r="11" spans="1:42" ht="29" hidden="1" x14ac:dyDescent="0.25">
      <c r="A11" s="7" t="s">
        <v>228</v>
      </c>
      <c r="B11" s="22" t="s">
        <v>40</v>
      </c>
      <c r="C11" s="25" t="s">
        <v>41</v>
      </c>
      <c r="D11" s="8" t="s">
        <v>218</v>
      </c>
      <c r="E11" s="8"/>
      <c r="F11" s="8" t="s">
        <v>218</v>
      </c>
      <c r="G11" s="8"/>
      <c r="H11" s="8" t="s">
        <v>218</v>
      </c>
      <c r="I11" s="8"/>
      <c r="J11" s="8" t="s">
        <v>218</v>
      </c>
      <c r="K11" s="8"/>
      <c r="L11" s="8" t="s">
        <v>218</v>
      </c>
      <c r="M11" s="8"/>
      <c r="N11" s="8" t="s">
        <v>218</v>
      </c>
      <c r="O11" s="8"/>
      <c r="P11" s="27" t="s">
        <v>218</v>
      </c>
      <c r="Q11" s="27"/>
      <c r="R11" s="8" t="s">
        <v>218</v>
      </c>
      <c r="S11" s="8"/>
      <c r="T11" s="19" t="str">
        <f t="shared" si="0"/>
        <v/>
      </c>
      <c r="AP11"/>
    </row>
    <row r="12" spans="1:42" ht="84" hidden="1" x14ac:dyDescent="0.25">
      <c r="A12" s="8" t="s">
        <v>229</v>
      </c>
      <c r="B12" s="3" t="s">
        <v>42</v>
      </c>
      <c r="C12" s="3" t="s">
        <v>279</v>
      </c>
      <c r="D12" s="32" t="s">
        <v>218</v>
      </c>
      <c r="E12" s="32"/>
      <c r="F12" s="32" t="s">
        <v>218</v>
      </c>
      <c r="G12" s="32"/>
      <c r="H12" s="32" t="s">
        <v>218</v>
      </c>
      <c r="I12" s="32"/>
      <c r="J12" s="32" t="s">
        <v>218</v>
      </c>
      <c r="K12" s="32"/>
      <c r="L12" s="32" t="s">
        <v>218</v>
      </c>
      <c r="M12" s="32"/>
      <c r="N12" s="32" t="s">
        <v>218</v>
      </c>
      <c r="O12" s="32"/>
      <c r="P12" s="29" t="s">
        <v>220</v>
      </c>
      <c r="Q12" s="29"/>
      <c r="R12" s="8" t="s">
        <v>218</v>
      </c>
      <c r="S12" s="8"/>
      <c r="T12" s="19" t="str">
        <f t="shared" si="0"/>
        <v/>
      </c>
      <c r="AP12"/>
    </row>
    <row r="13" spans="1:42" s="30" customFormat="1" ht="42" hidden="1" x14ac:dyDescent="0.25">
      <c r="A13" s="27" t="s">
        <v>230</v>
      </c>
      <c r="B13" s="25" t="s">
        <v>43</v>
      </c>
      <c r="C13" s="25" t="s">
        <v>280</v>
      </c>
      <c r="D13" s="27" t="s">
        <v>218</v>
      </c>
      <c r="E13" s="27"/>
      <c r="F13" s="27" t="s">
        <v>218</v>
      </c>
      <c r="G13" s="27"/>
      <c r="H13" s="27" t="s">
        <v>218</v>
      </c>
      <c r="I13" s="27"/>
      <c r="J13" s="27" t="s">
        <v>218</v>
      </c>
      <c r="K13" s="27"/>
      <c r="L13" s="27" t="s">
        <v>218</v>
      </c>
      <c r="M13" s="27"/>
      <c r="N13" s="27" t="s">
        <v>218</v>
      </c>
      <c r="O13" s="27"/>
      <c r="P13" s="27" t="s">
        <v>218</v>
      </c>
      <c r="Q13" s="27"/>
      <c r="R13" s="27" t="s">
        <v>218</v>
      </c>
      <c r="S13" s="27"/>
      <c r="T13" s="19" t="str">
        <f t="shared" si="0"/>
        <v/>
      </c>
    </row>
    <row r="14" spans="1:42" s="30" customFormat="1" ht="42" hidden="1" x14ac:dyDescent="0.25">
      <c r="A14" s="27" t="s">
        <v>231</v>
      </c>
      <c r="B14" s="25" t="s">
        <v>44</v>
      </c>
      <c r="C14" s="25" t="s">
        <v>281</v>
      </c>
      <c r="D14" s="27" t="s">
        <v>218</v>
      </c>
      <c r="E14" s="27"/>
      <c r="F14" s="27" t="s">
        <v>218</v>
      </c>
      <c r="G14" s="27"/>
      <c r="H14" s="27" t="s">
        <v>218</v>
      </c>
      <c r="I14" s="27"/>
      <c r="J14" s="27" t="s">
        <v>218</v>
      </c>
      <c r="K14" s="27"/>
      <c r="L14" s="27" t="s">
        <v>218</v>
      </c>
      <c r="M14" s="27"/>
      <c r="N14" s="27" t="s">
        <v>218</v>
      </c>
      <c r="O14" s="27"/>
      <c r="P14" s="27" t="s">
        <v>218</v>
      </c>
      <c r="Q14" s="27"/>
      <c r="R14" s="27" t="s">
        <v>218</v>
      </c>
      <c r="S14" s="27"/>
      <c r="T14" s="19" t="str">
        <f t="shared" si="0"/>
        <v/>
      </c>
    </row>
    <row r="15" spans="1:42" ht="56" x14ac:dyDescent="0.25">
      <c r="A15" s="8" t="s">
        <v>232</v>
      </c>
      <c r="B15" s="3" t="s">
        <v>45</v>
      </c>
      <c r="C15" s="3" t="s">
        <v>282</v>
      </c>
      <c r="D15" s="24" t="s">
        <v>18</v>
      </c>
      <c r="E15" s="24" t="s">
        <v>333</v>
      </c>
      <c r="F15" s="8" t="s">
        <v>218</v>
      </c>
      <c r="G15" s="8"/>
      <c r="H15" s="27" t="s">
        <v>218</v>
      </c>
      <c r="I15" s="27"/>
      <c r="J15" s="8" t="s">
        <v>218</v>
      </c>
      <c r="K15" s="8"/>
      <c r="L15" s="27" t="s">
        <v>218</v>
      </c>
      <c r="M15" s="27"/>
      <c r="N15" s="8" t="s">
        <v>218</v>
      </c>
      <c r="O15" s="8"/>
      <c r="P15" s="27" t="s">
        <v>218</v>
      </c>
      <c r="Q15" s="27"/>
      <c r="R15" s="8" t="s">
        <v>218</v>
      </c>
      <c r="S15" s="8"/>
      <c r="T15" s="19" t="str">
        <f t="shared" si="0"/>
        <v>Esineb mittevastavus</v>
      </c>
      <c r="AP15"/>
    </row>
    <row r="16" spans="1:42" ht="42" hidden="1" x14ac:dyDescent="0.25">
      <c r="A16" s="8" t="s">
        <v>233</v>
      </c>
      <c r="B16" s="3" t="s">
        <v>46</v>
      </c>
      <c r="C16" s="3" t="s">
        <v>47</v>
      </c>
      <c r="D16" s="8" t="s">
        <v>218</v>
      </c>
      <c r="E16" s="8"/>
      <c r="F16" s="8" t="s">
        <v>218</v>
      </c>
      <c r="G16" s="8"/>
      <c r="H16" s="8" t="s">
        <v>218</v>
      </c>
      <c r="I16" s="8"/>
      <c r="J16" s="8" t="s">
        <v>218</v>
      </c>
      <c r="K16" s="8"/>
      <c r="L16" s="27" t="s">
        <v>218</v>
      </c>
      <c r="M16" s="27"/>
      <c r="N16" s="8" t="s">
        <v>218</v>
      </c>
      <c r="O16" s="8"/>
      <c r="P16" s="27" t="s">
        <v>218</v>
      </c>
      <c r="Q16" s="27"/>
      <c r="R16" s="8" t="s">
        <v>218</v>
      </c>
      <c r="S16" s="8"/>
      <c r="T16" s="19" t="str">
        <f t="shared" si="0"/>
        <v/>
      </c>
      <c r="AP16"/>
    </row>
    <row r="17" spans="1:42" ht="70.5" x14ac:dyDescent="0.25">
      <c r="A17" s="8" t="s">
        <v>234</v>
      </c>
      <c r="B17" s="3" t="s">
        <v>48</v>
      </c>
      <c r="C17" s="3" t="s">
        <v>283</v>
      </c>
      <c r="D17" s="29" t="s">
        <v>220</v>
      </c>
      <c r="E17" s="29"/>
      <c r="F17" s="29" t="s">
        <v>220</v>
      </c>
      <c r="G17" s="29"/>
      <c r="H17" s="29" t="s">
        <v>220</v>
      </c>
      <c r="I17" s="29"/>
      <c r="J17" s="24" t="s">
        <v>18</v>
      </c>
      <c r="K17" s="24" t="s">
        <v>328</v>
      </c>
      <c r="L17" s="29" t="s">
        <v>220</v>
      </c>
      <c r="M17" s="29"/>
      <c r="N17" s="29" t="s">
        <v>220</v>
      </c>
      <c r="O17" s="29"/>
      <c r="P17" s="29" t="s">
        <v>220</v>
      </c>
      <c r="Q17" s="29"/>
      <c r="R17" s="29" t="s">
        <v>220</v>
      </c>
      <c r="S17" s="29"/>
      <c r="T17" s="19" t="str">
        <f t="shared" si="0"/>
        <v>Esineb mittevastavus</v>
      </c>
      <c r="AP17"/>
    </row>
    <row r="18" spans="1:42" ht="112.5" hidden="1" x14ac:dyDescent="0.25">
      <c r="A18" s="8" t="s">
        <v>235</v>
      </c>
      <c r="B18" s="3" t="s">
        <v>49</v>
      </c>
      <c r="C18" s="3" t="s">
        <v>50</v>
      </c>
      <c r="D18" s="29" t="s">
        <v>220</v>
      </c>
      <c r="E18" s="29"/>
      <c r="F18" s="29" t="s">
        <v>220</v>
      </c>
      <c r="G18" s="29"/>
      <c r="H18" s="29" t="s">
        <v>220</v>
      </c>
      <c r="I18" s="29"/>
      <c r="J18" s="29" t="s">
        <v>220</v>
      </c>
      <c r="K18" s="29"/>
      <c r="L18" s="8" t="s">
        <v>218</v>
      </c>
      <c r="M18" s="8"/>
      <c r="N18" s="29" t="s">
        <v>220</v>
      </c>
      <c r="O18" s="29"/>
      <c r="P18" s="29" t="s">
        <v>220</v>
      </c>
      <c r="Q18" s="29"/>
      <c r="R18" s="29" t="s">
        <v>220</v>
      </c>
      <c r="S18" s="29"/>
      <c r="T18" s="19" t="str">
        <f t="shared" si="0"/>
        <v/>
      </c>
      <c r="AP18"/>
    </row>
    <row r="19" spans="1:42" ht="55.5" hidden="1" customHeight="1" x14ac:dyDescent="0.25">
      <c r="A19" s="8" t="s">
        <v>236</v>
      </c>
      <c r="B19" s="3" t="s">
        <v>51</v>
      </c>
      <c r="C19" s="3" t="s">
        <v>284</v>
      </c>
      <c r="D19" s="29" t="s">
        <v>220</v>
      </c>
      <c r="E19" s="29"/>
      <c r="F19" s="29" t="s">
        <v>220</v>
      </c>
      <c r="G19" s="29"/>
      <c r="H19" s="29" t="s">
        <v>220</v>
      </c>
      <c r="I19" s="29"/>
      <c r="J19" s="29" t="s">
        <v>220</v>
      </c>
      <c r="K19" s="29"/>
      <c r="L19" s="29" t="s">
        <v>220</v>
      </c>
      <c r="M19" s="29"/>
      <c r="N19" s="29" t="s">
        <v>220</v>
      </c>
      <c r="O19" s="29"/>
      <c r="P19" s="29" t="s">
        <v>220</v>
      </c>
      <c r="Q19" s="29"/>
      <c r="R19" s="29" t="s">
        <v>220</v>
      </c>
      <c r="S19" s="29"/>
      <c r="T19" s="19" t="str">
        <f t="shared" si="0"/>
        <v/>
      </c>
      <c r="AP19"/>
    </row>
    <row r="20" spans="1:42" ht="42.5" hidden="1" x14ac:dyDescent="0.25">
      <c r="A20" s="8" t="s">
        <v>237</v>
      </c>
      <c r="B20" s="3" t="s">
        <v>52</v>
      </c>
      <c r="C20" s="3" t="s">
        <v>53</v>
      </c>
      <c r="D20" s="8" t="s">
        <v>218</v>
      </c>
      <c r="E20" s="8"/>
      <c r="F20" s="8" t="s">
        <v>218</v>
      </c>
      <c r="G20" s="8"/>
      <c r="H20" s="8" t="s">
        <v>218</v>
      </c>
      <c r="I20" s="8"/>
      <c r="J20" s="8" t="s">
        <v>218</v>
      </c>
      <c r="K20" s="8"/>
      <c r="L20" s="29" t="s">
        <v>220</v>
      </c>
      <c r="M20" s="29"/>
      <c r="N20" s="27" t="s">
        <v>218</v>
      </c>
      <c r="O20" s="27"/>
      <c r="P20" s="27" t="s">
        <v>218</v>
      </c>
      <c r="Q20" s="27"/>
      <c r="R20" s="8" t="s">
        <v>218</v>
      </c>
      <c r="S20" s="8"/>
      <c r="T20" s="19" t="str">
        <f t="shared" si="0"/>
        <v/>
      </c>
      <c r="AP20"/>
    </row>
    <row r="21" spans="1:42" ht="42.5" hidden="1" x14ac:dyDescent="0.25">
      <c r="A21" s="8" t="s">
        <v>238</v>
      </c>
      <c r="B21" s="3" t="s">
        <v>54</v>
      </c>
      <c r="C21" s="3" t="s">
        <v>55</v>
      </c>
      <c r="D21" s="29" t="s">
        <v>220</v>
      </c>
      <c r="E21" s="29"/>
      <c r="F21" s="29" t="s">
        <v>220</v>
      </c>
      <c r="G21" s="29"/>
      <c r="H21" s="29" t="s">
        <v>220</v>
      </c>
      <c r="I21" s="29"/>
      <c r="J21" s="29" t="s">
        <v>220</v>
      </c>
      <c r="K21" s="29"/>
      <c r="L21" s="29" t="s">
        <v>220</v>
      </c>
      <c r="M21" s="29"/>
      <c r="N21" s="29" t="s">
        <v>220</v>
      </c>
      <c r="O21" s="29"/>
      <c r="P21" s="29" t="s">
        <v>220</v>
      </c>
      <c r="Q21" s="29"/>
      <c r="R21" s="29" t="s">
        <v>220</v>
      </c>
      <c r="S21" s="29"/>
      <c r="T21" s="19" t="str">
        <f t="shared" si="0"/>
        <v/>
      </c>
      <c r="AP21"/>
    </row>
    <row r="22" spans="1:42" ht="42" hidden="1" x14ac:dyDescent="0.25">
      <c r="A22" s="8" t="s">
        <v>239</v>
      </c>
      <c r="B22" s="3" t="s">
        <v>56</v>
      </c>
      <c r="C22" s="3" t="s">
        <v>57</v>
      </c>
      <c r="D22" s="8" t="s">
        <v>218</v>
      </c>
      <c r="E22" s="8"/>
      <c r="F22" s="8" t="s">
        <v>218</v>
      </c>
      <c r="G22" s="8"/>
      <c r="H22" s="8" t="s">
        <v>218</v>
      </c>
      <c r="I22" s="8"/>
      <c r="J22" s="8" t="s">
        <v>218</v>
      </c>
      <c r="K22" s="8"/>
      <c r="L22" s="8" t="s">
        <v>218</v>
      </c>
      <c r="M22" s="8"/>
      <c r="N22" s="8" t="s">
        <v>218</v>
      </c>
      <c r="O22" s="8"/>
      <c r="P22" s="27" t="s">
        <v>218</v>
      </c>
      <c r="Q22" s="27"/>
      <c r="R22" s="8" t="s">
        <v>218</v>
      </c>
      <c r="S22" s="8"/>
      <c r="T22" s="19" t="str">
        <f t="shared" si="0"/>
        <v/>
      </c>
      <c r="AP22"/>
    </row>
    <row r="23" spans="1:42" ht="294" x14ac:dyDescent="0.25">
      <c r="A23" s="3" t="s">
        <v>240</v>
      </c>
      <c r="B23" s="3" t="s">
        <v>58</v>
      </c>
      <c r="C23" s="3" t="s">
        <v>285</v>
      </c>
      <c r="D23" s="24" t="s">
        <v>18</v>
      </c>
      <c r="E23" s="24" t="s">
        <v>394</v>
      </c>
      <c r="F23" s="24" t="s">
        <v>18</v>
      </c>
      <c r="G23" s="24" t="s">
        <v>395</v>
      </c>
      <c r="H23" s="24" t="s">
        <v>18</v>
      </c>
      <c r="I23" s="24" t="s">
        <v>395</v>
      </c>
      <c r="J23" s="24" t="s">
        <v>18</v>
      </c>
      <c r="K23" s="24" t="s">
        <v>395</v>
      </c>
      <c r="L23" s="24" t="s">
        <v>18</v>
      </c>
      <c r="M23" s="24" t="s">
        <v>395</v>
      </c>
      <c r="N23" s="24" t="s">
        <v>18</v>
      </c>
      <c r="O23" s="24" t="s">
        <v>395</v>
      </c>
      <c r="P23" s="24" t="s">
        <v>18</v>
      </c>
      <c r="Q23" s="24" t="s">
        <v>395</v>
      </c>
      <c r="R23" s="24" t="s">
        <v>18</v>
      </c>
      <c r="S23" s="24" t="s">
        <v>395</v>
      </c>
      <c r="T23" s="19" t="str">
        <f t="shared" si="0"/>
        <v>Esineb mittevastavus</v>
      </c>
      <c r="AP23"/>
    </row>
    <row r="24" spans="1:42" ht="56" x14ac:dyDescent="0.25">
      <c r="A24" s="3" t="s">
        <v>241</v>
      </c>
      <c r="B24" s="3" t="s">
        <v>59</v>
      </c>
      <c r="C24" s="3" t="s">
        <v>286</v>
      </c>
      <c r="D24" s="8" t="s">
        <v>218</v>
      </c>
      <c r="E24" s="8"/>
      <c r="F24" s="8" t="s">
        <v>218</v>
      </c>
      <c r="G24" s="8"/>
      <c r="H24" s="8" t="s">
        <v>218</v>
      </c>
      <c r="I24" s="8"/>
      <c r="J24" s="8" t="s">
        <v>218</v>
      </c>
      <c r="K24" s="8"/>
      <c r="L24" s="24" t="s">
        <v>18</v>
      </c>
      <c r="M24" s="24" t="s">
        <v>354</v>
      </c>
      <c r="N24" s="8" t="s">
        <v>218</v>
      </c>
      <c r="O24" s="8"/>
      <c r="P24" s="27" t="s">
        <v>218</v>
      </c>
      <c r="Q24" s="27"/>
      <c r="R24" s="8" t="s">
        <v>218</v>
      </c>
      <c r="S24" s="8"/>
      <c r="T24" s="19" t="str">
        <f t="shared" si="0"/>
        <v>Esineb mittevastavus</v>
      </c>
      <c r="AP24"/>
    </row>
    <row r="25" spans="1:42" ht="42" x14ac:dyDescent="0.25">
      <c r="A25" s="3" t="s">
        <v>242</v>
      </c>
      <c r="B25" s="3" t="s">
        <v>60</v>
      </c>
      <c r="C25" s="3" t="s">
        <v>287</v>
      </c>
      <c r="D25" s="8" t="s">
        <v>218</v>
      </c>
      <c r="E25" s="8"/>
      <c r="F25" s="8" t="s">
        <v>218</v>
      </c>
      <c r="G25" s="8"/>
      <c r="H25" s="8" t="s">
        <v>218</v>
      </c>
      <c r="I25" s="8"/>
      <c r="J25" s="8" t="s">
        <v>218</v>
      </c>
      <c r="K25" s="8"/>
      <c r="L25" s="24" t="s">
        <v>18</v>
      </c>
      <c r="M25" s="24" t="s">
        <v>355</v>
      </c>
      <c r="N25" s="8" t="s">
        <v>218</v>
      </c>
      <c r="O25" s="8"/>
      <c r="P25" s="27" t="s">
        <v>218</v>
      </c>
      <c r="Q25" s="27"/>
      <c r="R25" s="8" t="s">
        <v>218</v>
      </c>
      <c r="S25" s="8"/>
      <c r="T25" s="19" t="str">
        <f t="shared" si="0"/>
        <v>Esineb mittevastavus</v>
      </c>
      <c r="AP25"/>
    </row>
    <row r="26" spans="1:42" ht="112" x14ac:dyDescent="0.25">
      <c r="A26" s="3" t="s">
        <v>243</v>
      </c>
      <c r="B26" s="3" t="s">
        <v>61</v>
      </c>
      <c r="C26" s="3" t="s">
        <v>318</v>
      </c>
      <c r="D26" s="8" t="s">
        <v>218</v>
      </c>
      <c r="E26" s="8"/>
      <c r="F26" s="8" t="s">
        <v>218</v>
      </c>
      <c r="G26" s="8"/>
      <c r="H26" s="8" t="s">
        <v>218</v>
      </c>
      <c r="I26" s="8"/>
      <c r="J26" s="29" t="s">
        <v>220</v>
      </c>
      <c r="K26" s="29"/>
      <c r="L26" s="24" t="s">
        <v>18</v>
      </c>
      <c r="M26" s="24" t="s">
        <v>356</v>
      </c>
      <c r="N26" s="8" t="s">
        <v>218</v>
      </c>
      <c r="O26" s="8"/>
      <c r="P26" s="27" t="s">
        <v>218</v>
      </c>
      <c r="Q26" s="27"/>
      <c r="R26" s="8" t="s">
        <v>218</v>
      </c>
      <c r="S26" s="8"/>
      <c r="T26" s="19" t="str">
        <f t="shared" si="0"/>
        <v>Esineb mittevastavus</v>
      </c>
      <c r="AP26"/>
    </row>
    <row r="27" spans="1:42" ht="56" hidden="1" x14ac:dyDescent="0.25">
      <c r="A27" s="8" t="s">
        <v>244</v>
      </c>
      <c r="B27" s="3" t="s">
        <v>62</v>
      </c>
      <c r="C27" s="3" t="s">
        <v>288</v>
      </c>
      <c r="D27" s="8" t="s">
        <v>218</v>
      </c>
      <c r="E27" s="8"/>
      <c r="F27" s="8" t="s">
        <v>218</v>
      </c>
      <c r="G27" s="8"/>
      <c r="H27" s="8" t="s">
        <v>218</v>
      </c>
      <c r="I27" s="8"/>
      <c r="J27" s="8" t="s">
        <v>218</v>
      </c>
      <c r="K27" s="8"/>
      <c r="L27" s="29" t="s">
        <v>220</v>
      </c>
      <c r="M27" s="29"/>
      <c r="N27" s="8" t="s">
        <v>218</v>
      </c>
      <c r="O27" s="8"/>
      <c r="P27" s="27" t="s">
        <v>218</v>
      </c>
      <c r="Q27" s="27"/>
      <c r="R27" s="8" t="s">
        <v>218</v>
      </c>
      <c r="S27" s="8"/>
      <c r="T27" s="19" t="str">
        <f t="shared" si="0"/>
        <v/>
      </c>
      <c r="AP27"/>
    </row>
    <row r="28" spans="1:42" ht="28" hidden="1" x14ac:dyDescent="0.25">
      <c r="A28" s="7"/>
      <c r="B28" s="7"/>
      <c r="C28" s="2" t="s">
        <v>311</v>
      </c>
      <c r="D28" s="7"/>
      <c r="E28" s="7"/>
      <c r="F28" s="35"/>
      <c r="G28" s="35"/>
      <c r="H28" s="7"/>
      <c r="I28" s="7"/>
      <c r="J28" s="35"/>
      <c r="K28" s="35"/>
      <c r="L28" s="7"/>
      <c r="M28" s="7"/>
      <c r="N28" s="35"/>
      <c r="O28" s="35"/>
      <c r="P28" s="7"/>
      <c r="Q28" s="7"/>
      <c r="R28" s="35"/>
      <c r="S28" s="35"/>
      <c r="T28" s="19" t="str">
        <f t="shared" si="0"/>
        <v/>
      </c>
      <c r="AP28"/>
    </row>
    <row r="29" spans="1:42" ht="409.5" customHeight="1" x14ac:dyDescent="0.25">
      <c r="A29" s="3" t="s">
        <v>245</v>
      </c>
      <c r="B29" s="3" t="s">
        <v>63</v>
      </c>
      <c r="C29" s="3" t="s">
        <v>319</v>
      </c>
      <c r="D29" s="24" t="s">
        <v>18</v>
      </c>
      <c r="E29" s="24" t="s">
        <v>364</v>
      </c>
      <c r="F29" s="24" t="s">
        <v>18</v>
      </c>
      <c r="G29" s="24" t="s">
        <v>357</v>
      </c>
      <c r="H29" s="24" t="s">
        <v>18</v>
      </c>
      <c r="I29" s="24" t="s">
        <v>358</v>
      </c>
      <c r="J29" s="24" t="s">
        <v>18</v>
      </c>
      <c r="K29" s="24" t="s">
        <v>359</v>
      </c>
      <c r="L29" s="24" t="s">
        <v>18</v>
      </c>
      <c r="M29" s="24" t="s">
        <v>360</v>
      </c>
      <c r="N29" s="24" t="s">
        <v>18</v>
      </c>
      <c r="O29" s="24" t="s">
        <v>361</v>
      </c>
      <c r="P29" s="24" t="s">
        <v>18</v>
      </c>
      <c r="Q29" s="24" t="s">
        <v>363</v>
      </c>
      <c r="R29" s="24" t="s">
        <v>18</v>
      </c>
      <c r="S29" s="24" t="s">
        <v>362</v>
      </c>
      <c r="T29" s="19" t="str">
        <f t="shared" si="0"/>
        <v>Esineb mittevastavus</v>
      </c>
      <c r="AP29"/>
    </row>
    <row r="30" spans="1:42" ht="112" x14ac:dyDescent="0.25">
      <c r="A30" s="3" t="s">
        <v>246</v>
      </c>
      <c r="B30" s="3" t="s">
        <v>64</v>
      </c>
      <c r="C30" s="3" t="s">
        <v>315</v>
      </c>
      <c r="D30" s="24" t="s">
        <v>18</v>
      </c>
      <c r="E30" s="24" t="s">
        <v>334</v>
      </c>
      <c r="F30" s="24" t="s">
        <v>18</v>
      </c>
      <c r="G30" s="24" t="s">
        <v>334</v>
      </c>
      <c r="H30" s="24" t="s">
        <v>18</v>
      </c>
      <c r="I30" s="24" t="s">
        <v>334</v>
      </c>
      <c r="J30" s="24" t="s">
        <v>18</v>
      </c>
      <c r="K30" s="24" t="s">
        <v>335</v>
      </c>
      <c r="L30" s="24" t="s">
        <v>18</v>
      </c>
      <c r="M30" s="24" t="s">
        <v>336</v>
      </c>
      <c r="N30" s="24" t="s">
        <v>18</v>
      </c>
      <c r="O30" s="24" t="s">
        <v>337</v>
      </c>
      <c r="P30" s="24" t="s">
        <v>18</v>
      </c>
      <c r="Q30" s="24" t="s">
        <v>337</v>
      </c>
      <c r="R30" s="24" t="s">
        <v>18</v>
      </c>
      <c r="S30" s="24" t="s">
        <v>337</v>
      </c>
      <c r="T30" s="19" t="str">
        <f t="shared" si="0"/>
        <v>Esineb mittevastavus</v>
      </c>
      <c r="AP30"/>
    </row>
    <row r="31" spans="1:42" ht="210.5" hidden="1" customHeight="1" x14ac:dyDescent="0.25">
      <c r="A31" s="3" t="s">
        <v>247</v>
      </c>
      <c r="B31" s="3" t="s">
        <v>65</v>
      </c>
      <c r="C31" s="3" t="s">
        <v>317</v>
      </c>
      <c r="D31" s="29" t="s">
        <v>220</v>
      </c>
      <c r="E31" s="29"/>
      <c r="F31" s="29" t="s">
        <v>220</v>
      </c>
      <c r="G31" s="29"/>
      <c r="H31" s="29" t="s">
        <v>220</v>
      </c>
      <c r="I31" s="29"/>
      <c r="J31" s="29" t="s">
        <v>220</v>
      </c>
      <c r="K31" s="29"/>
      <c r="L31" s="29" t="s">
        <v>220</v>
      </c>
      <c r="M31" s="29"/>
      <c r="N31" s="29" t="s">
        <v>220</v>
      </c>
      <c r="O31" s="29"/>
      <c r="P31" s="29" t="s">
        <v>220</v>
      </c>
      <c r="Q31" s="29"/>
      <c r="R31" s="29" t="s">
        <v>220</v>
      </c>
      <c r="S31" s="29"/>
      <c r="T31" s="19" t="str">
        <f t="shared" si="0"/>
        <v/>
      </c>
      <c r="AP31"/>
    </row>
    <row r="32" spans="1:42" ht="28" hidden="1" customHeight="1" x14ac:dyDescent="0.25">
      <c r="A32" s="3" t="s">
        <v>248</v>
      </c>
      <c r="B32" s="3" t="s">
        <v>66</v>
      </c>
      <c r="C32" s="3" t="s">
        <v>67</v>
      </c>
      <c r="D32" s="29" t="s">
        <v>220</v>
      </c>
      <c r="E32" s="29"/>
      <c r="F32" s="29" t="s">
        <v>220</v>
      </c>
      <c r="G32" s="29"/>
      <c r="H32" s="29" t="s">
        <v>220</v>
      </c>
      <c r="I32" s="29"/>
      <c r="J32" s="29" t="s">
        <v>220</v>
      </c>
      <c r="K32" s="29"/>
      <c r="L32" s="29" t="s">
        <v>220</v>
      </c>
      <c r="M32" s="29"/>
      <c r="N32" s="29" t="s">
        <v>220</v>
      </c>
      <c r="O32" s="29"/>
      <c r="P32" s="29" t="s">
        <v>220</v>
      </c>
      <c r="Q32" s="29"/>
      <c r="R32" s="29" t="s">
        <v>220</v>
      </c>
      <c r="S32" s="29"/>
      <c r="T32" s="19" t="str">
        <f t="shared" si="0"/>
        <v/>
      </c>
      <c r="AP32"/>
    </row>
    <row r="33" spans="1:42" ht="84.5" hidden="1" customHeight="1" x14ac:dyDescent="0.25">
      <c r="A33" s="8" t="s">
        <v>249</v>
      </c>
      <c r="B33" s="3" t="s">
        <v>68</v>
      </c>
      <c r="C33" s="3" t="s">
        <v>69</v>
      </c>
      <c r="D33" s="29" t="s">
        <v>220</v>
      </c>
      <c r="E33" s="29"/>
      <c r="F33" s="29" t="s">
        <v>220</v>
      </c>
      <c r="G33" s="29"/>
      <c r="H33" s="29" t="s">
        <v>220</v>
      </c>
      <c r="I33" s="29"/>
      <c r="J33" s="29" t="s">
        <v>220</v>
      </c>
      <c r="K33" s="29"/>
      <c r="L33" s="29" t="s">
        <v>220</v>
      </c>
      <c r="M33" s="29"/>
      <c r="N33" s="29" t="s">
        <v>220</v>
      </c>
      <c r="O33" s="29"/>
      <c r="P33" s="29" t="s">
        <v>220</v>
      </c>
      <c r="Q33" s="29"/>
      <c r="R33" s="29" t="s">
        <v>220</v>
      </c>
      <c r="S33" s="29"/>
      <c r="T33" s="19" t="str">
        <f t="shared" si="0"/>
        <v/>
      </c>
      <c r="AP33"/>
    </row>
    <row r="34" spans="1:42" ht="183" hidden="1" customHeight="1" x14ac:dyDescent="0.25">
      <c r="A34" s="8" t="s">
        <v>250</v>
      </c>
      <c r="B34" s="3" t="s">
        <v>70</v>
      </c>
      <c r="C34" s="3" t="s">
        <v>71</v>
      </c>
      <c r="D34" s="29" t="s">
        <v>220</v>
      </c>
      <c r="E34" s="29"/>
      <c r="F34" s="29" t="s">
        <v>220</v>
      </c>
      <c r="G34" s="29"/>
      <c r="H34" s="29" t="s">
        <v>220</v>
      </c>
      <c r="I34" s="29"/>
      <c r="J34" s="29" t="s">
        <v>220</v>
      </c>
      <c r="K34" s="29"/>
      <c r="L34" s="29" t="s">
        <v>220</v>
      </c>
      <c r="M34" s="29"/>
      <c r="N34" s="29" t="s">
        <v>220</v>
      </c>
      <c r="O34" s="29"/>
      <c r="P34" s="29" t="s">
        <v>220</v>
      </c>
      <c r="Q34" s="29"/>
      <c r="R34" s="29" t="s">
        <v>220</v>
      </c>
      <c r="S34" s="29"/>
      <c r="T34" s="19" t="str">
        <f t="shared" si="0"/>
        <v/>
      </c>
      <c r="AP34"/>
    </row>
    <row r="35" spans="1:42" ht="154.5" x14ac:dyDescent="0.25">
      <c r="A35" s="8" t="s">
        <v>251</v>
      </c>
      <c r="B35" s="3" t="s">
        <v>72</v>
      </c>
      <c r="C35" s="3" t="s">
        <v>73</v>
      </c>
      <c r="D35" s="24" t="s">
        <v>18</v>
      </c>
      <c r="E35" s="24" t="s">
        <v>396</v>
      </c>
      <c r="F35" s="24" t="s">
        <v>18</v>
      </c>
      <c r="G35" s="24" t="s">
        <v>338</v>
      </c>
      <c r="H35" s="24" t="s">
        <v>18</v>
      </c>
      <c r="I35" s="24" t="s">
        <v>339</v>
      </c>
      <c r="J35" s="24" t="s">
        <v>18</v>
      </c>
      <c r="K35" s="24" t="s">
        <v>339</v>
      </c>
      <c r="L35" s="24" t="s">
        <v>18</v>
      </c>
      <c r="M35" s="24" t="s">
        <v>339</v>
      </c>
      <c r="N35" s="27" t="s">
        <v>218</v>
      </c>
      <c r="O35" s="27"/>
      <c r="P35" s="27" t="s">
        <v>218</v>
      </c>
      <c r="Q35" s="27"/>
      <c r="R35" s="29" t="s">
        <v>220</v>
      </c>
      <c r="S35" s="29"/>
      <c r="T35" s="19" t="str">
        <f t="shared" si="0"/>
        <v>Esineb mittevastavus</v>
      </c>
      <c r="AP35"/>
    </row>
    <row r="36" spans="1:42" ht="168" hidden="1" x14ac:dyDescent="0.25">
      <c r="A36" s="8" t="s">
        <v>252</v>
      </c>
      <c r="B36" s="3" t="s">
        <v>74</v>
      </c>
      <c r="C36" s="3" t="s">
        <v>75</v>
      </c>
      <c r="D36" s="29" t="s">
        <v>220</v>
      </c>
      <c r="E36" s="29"/>
      <c r="F36" s="29" t="s">
        <v>220</v>
      </c>
      <c r="G36" s="29"/>
      <c r="H36" s="29" t="s">
        <v>220</v>
      </c>
      <c r="I36" s="29"/>
      <c r="J36" s="29" t="s">
        <v>220</v>
      </c>
      <c r="K36" s="29"/>
      <c r="L36" s="29" t="s">
        <v>220</v>
      </c>
      <c r="M36" s="29"/>
      <c r="N36" s="29" t="s">
        <v>220</v>
      </c>
      <c r="O36" s="29"/>
      <c r="P36" s="29" t="s">
        <v>220</v>
      </c>
      <c r="Q36" s="29"/>
      <c r="R36" s="29" t="s">
        <v>220</v>
      </c>
      <c r="S36" s="29"/>
      <c r="T36" s="19" t="str">
        <f t="shared" si="0"/>
        <v/>
      </c>
      <c r="AP36"/>
    </row>
    <row r="37" spans="1:42" ht="70" x14ac:dyDescent="0.25">
      <c r="A37" s="8" t="s">
        <v>253</v>
      </c>
      <c r="B37" s="3" t="s">
        <v>76</v>
      </c>
      <c r="C37" s="3" t="s">
        <v>77</v>
      </c>
      <c r="D37" s="32" t="s">
        <v>218</v>
      </c>
      <c r="E37" s="32"/>
      <c r="F37" s="32" t="s">
        <v>218</v>
      </c>
      <c r="G37" s="32"/>
      <c r="H37" s="32" t="s">
        <v>218</v>
      </c>
      <c r="I37" s="32"/>
      <c r="J37" s="32" t="s">
        <v>218</v>
      </c>
      <c r="K37" s="32"/>
      <c r="L37" s="24" t="s">
        <v>18</v>
      </c>
      <c r="M37" s="24" t="s">
        <v>365</v>
      </c>
      <c r="N37" s="8" t="s">
        <v>218</v>
      </c>
      <c r="O37" s="8"/>
      <c r="P37" s="27" t="s">
        <v>218</v>
      </c>
      <c r="Q37" s="27"/>
      <c r="R37" s="8" t="s">
        <v>218</v>
      </c>
      <c r="S37" s="8"/>
      <c r="T37" s="19" t="str">
        <f t="shared" si="0"/>
        <v>Esineb mittevastavus</v>
      </c>
      <c r="AP37"/>
    </row>
    <row r="38" spans="1:42" ht="42" x14ac:dyDescent="0.25">
      <c r="A38" s="8" t="s">
        <v>254</v>
      </c>
      <c r="B38" s="3" t="s">
        <v>78</v>
      </c>
      <c r="C38" s="3" t="s">
        <v>291</v>
      </c>
      <c r="D38" s="24" t="s">
        <v>18</v>
      </c>
      <c r="E38" s="24" t="s">
        <v>340</v>
      </c>
      <c r="F38" s="24" t="s">
        <v>18</v>
      </c>
      <c r="G38" s="24" t="s">
        <v>340</v>
      </c>
      <c r="H38" s="24" t="s">
        <v>18</v>
      </c>
      <c r="I38" s="24" t="s">
        <v>340</v>
      </c>
      <c r="J38" s="24" t="s">
        <v>18</v>
      </c>
      <c r="K38" s="24" t="s">
        <v>340</v>
      </c>
      <c r="L38" s="24" t="s">
        <v>18</v>
      </c>
      <c r="M38" s="24" t="s">
        <v>340</v>
      </c>
      <c r="N38" s="24" t="s">
        <v>18</v>
      </c>
      <c r="O38" s="24" t="s">
        <v>340</v>
      </c>
      <c r="P38" s="24" t="s">
        <v>18</v>
      </c>
      <c r="Q38" s="24" t="s">
        <v>340</v>
      </c>
      <c r="R38" s="24" t="s">
        <v>18</v>
      </c>
      <c r="S38" s="24" t="s">
        <v>340</v>
      </c>
      <c r="T38" s="19" t="str">
        <f t="shared" si="0"/>
        <v>Esineb mittevastavus</v>
      </c>
      <c r="AP38"/>
    </row>
    <row r="39" spans="1:42" ht="42" hidden="1" x14ac:dyDescent="0.25">
      <c r="A39" s="8" t="s">
        <v>255</v>
      </c>
      <c r="B39" s="3" t="s">
        <v>79</v>
      </c>
      <c r="C39" s="3" t="s">
        <v>290</v>
      </c>
      <c r="D39" s="29" t="s">
        <v>220</v>
      </c>
      <c r="E39" s="29"/>
      <c r="F39" s="29" t="s">
        <v>220</v>
      </c>
      <c r="G39" s="29"/>
      <c r="H39" s="29" t="s">
        <v>220</v>
      </c>
      <c r="I39" s="29"/>
      <c r="J39" s="29" t="s">
        <v>220</v>
      </c>
      <c r="K39" s="29"/>
      <c r="L39" s="29" t="s">
        <v>220</v>
      </c>
      <c r="M39" s="29"/>
      <c r="N39" s="29" t="s">
        <v>220</v>
      </c>
      <c r="O39" s="29"/>
      <c r="P39" s="29" t="s">
        <v>220</v>
      </c>
      <c r="Q39" s="29"/>
      <c r="R39" s="29" t="s">
        <v>220</v>
      </c>
      <c r="S39" s="29"/>
      <c r="T39" s="19" t="str">
        <f t="shared" si="0"/>
        <v/>
      </c>
      <c r="AP39"/>
    </row>
    <row r="40" spans="1:42" hidden="1" x14ac:dyDescent="0.25">
      <c r="A40" s="7"/>
      <c r="B40" s="7"/>
      <c r="C40" s="26" t="s">
        <v>80</v>
      </c>
      <c r="D40" s="7"/>
      <c r="E40" s="7"/>
      <c r="F40" s="35"/>
      <c r="G40" s="35"/>
      <c r="H40" s="7"/>
      <c r="I40" s="7"/>
      <c r="J40" s="35"/>
      <c r="K40" s="35"/>
      <c r="L40" s="7"/>
      <c r="M40" s="7"/>
      <c r="N40" s="35"/>
      <c r="O40" s="35"/>
      <c r="P40" s="7"/>
      <c r="Q40" s="7"/>
      <c r="R40" s="35"/>
      <c r="S40" s="35"/>
      <c r="T40" s="19" t="str">
        <f t="shared" si="0"/>
        <v/>
      </c>
      <c r="AP40"/>
    </row>
    <row r="41" spans="1:42" ht="85.5" hidden="1" x14ac:dyDescent="0.25">
      <c r="A41" s="8" t="s">
        <v>256</v>
      </c>
      <c r="B41" s="3" t="s">
        <v>81</v>
      </c>
      <c r="C41" s="3" t="s">
        <v>289</v>
      </c>
      <c r="D41" s="27" t="s">
        <v>218</v>
      </c>
      <c r="E41" s="27"/>
      <c r="F41" s="27" t="s">
        <v>218</v>
      </c>
      <c r="G41" s="27"/>
      <c r="H41" s="27" t="s">
        <v>218</v>
      </c>
      <c r="I41" s="27"/>
      <c r="J41" s="27" t="s">
        <v>218</v>
      </c>
      <c r="K41" s="27"/>
      <c r="L41" s="27" t="s">
        <v>218</v>
      </c>
      <c r="M41" s="27"/>
      <c r="N41" s="8" t="s">
        <v>218</v>
      </c>
      <c r="O41" s="8"/>
      <c r="P41" s="27" t="s">
        <v>218</v>
      </c>
      <c r="Q41" s="27"/>
      <c r="R41" s="8" t="s">
        <v>218</v>
      </c>
      <c r="S41" s="8"/>
      <c r="T41" s="19" t="str">
        <f t="shared" si="0"/>
        <v/>
      </c>
      <c r="AP41"/>
    </row>
    <row r="42" spans="1:42" ht="42" hidden="1" x14ac:dyDescent="0.25">
      <c r="A42" s="8" t="s">
        <v>257</v>
      </c>
      <c r="B42" s="3" t="s">
        <v>82</v>
      </c>
      <c r="C42" s="3" t="s">
        <v>292</v>
      </c>
      <c r="D42" s="27" t="s">
        <v>218</v>
      </c>
      <c r="E42" s="27"/>
      <c r="F42" s="27" t="s">
        <v>218</v>
      </c>
      <c r="G42" s="27"/>
      <c r="H42" s="27" t="s">
        <v>218</v>
      </c>
      <c r="I42" s="27"/>
      <c r="J42" s="27" t="s">
        <v>218</v>
      </c>
      <c r="K42" s="27"/>
      <c r="L42" s="27" t="s">
        <v>218</v>
      </c>
      <c r="M42" s="27"/>
      <c r="N42" s="8" t="s">
        <v>218</v>
      </c>
      <c r="O42" s="8"/>
      <c r="P42" s="27" t="s">
        <v>218</v>
      </c>
      <c r="Q42" s="27"/>
      <c r="R42" s="8" t="s">
        <v>218</v>
      </c>
      <c r="S42" s="8"/>
      <c r="T42" s="19" t="str">
        <f t="shared" si="0"/>
        <v/>
      </c>
      <c r="AP42"/>
    </row>
    <row r="43" spans="1:42" ht="42.5" hidden="1" x14ac:dyDescent="0.25">
      <c r="A43" s="8" t="s">
        <v>258</v>
      </c>
      <c r="B43" s="3" t="s">
        <v>83</v>
      </c>
      <c r="C43" s="3" t="s">
        <v>84</v>
      </c>
      <c r="D43" s="27" t="s">
        <v>218</v>
      </c>
      <c r="E43" s="27"/>
      <c r="F43" s="27" t="s">
        <v>218</v>
      </c>
      <c r="G43" s="27"/>
      <c r="H43" s="27" t="s">
        <v>218</v>
      </c>
      <c r="I43" s="27"/>
      <c r="J43" s="27" t="s">
        <v>218</v>
      </c>
      <c r="K43" s="27"/>
      <c r="L43" s="27" t="s">
        <v>218</v>
      </c>
      <c r="M43" s="27"/>
      <c r="N43" s="8" t="s">
        <v>218</v>
      </c>
      <c r="O43" s="8"/>
      <c r="P43" s="27" t="s">
        <v>218</v>
      </c>
      <c r="Q43" s="27"/>
      <c r="R43" s="8" t="s">
        <v>218</v>
      </c>
      <c r="S43" s="8"/>
      <c r="T43" s="19" t="str">
        <f t="shared" si="0"/>
        <v/>
      </c>
      <c r="AP43"/>
    </row>
    <row r="44" spans="1:42" ht="84" hidden="1" x14ac:dyDescent="0.25">
      <c r="A44" s="8" t="s">
        <v>259</v>
      </c>
      <c r="B44" s="3" t="s">
        <v>85</v>
      </c>
      <c r="C44" s="3" t="s">
        <v>293</v>
      </c>
      <c r="D44" s="27" t="s">
        <v>218</v>
      </c>
      <c r="E44" s="27"/>
      <c r="F44" s="27" t="s">
        <v>218</v>
      </c>
      <c r="G44" s="27"/>
      <c r="H44" s="27" t="s">
        <v>218</v>
      </c>
      <c r="I44" s="27"/>
      <c r="J44" s="27" t="s">
        <v>218</v>
      </c>
      <c r="K44" s="27"/>
      <c r="L44" s="27" t="s">
        <v>218</v>
      </c>
      <c r="M44" s="27"/>
      <c r="N44" s="8" t="s">
        <v>218</v>
      </c>
      <c r="O44" s="8"/>
      <c r="P44" s="27" t="s">
        <v>218</v>
      </c>
      <c r="Q44" s="27"/>
      <c r="R44" s="8" t="s">
        <v>218</v>
      </c>
      <c r="S44" s="8"/>
      <c r="T44" s="19" t="str">
        <f t="shared" si="0"/>
        <v/>
      </c>
      <c r="AP44"/>
    </row>
    <row r="45" spans="1:42" ht="56" hidden="1" x14ac:dyDescent="0.25">
      <c r="A45" s="9" t="s">
        <v>86</v>
      </c>
      <c r="B45" s="3" t="s">
        <v>87</v>
      </c>
      <c r="C45" s="3" t="s">
        <v>88</v>
      </c>
      <c r="D45" s="27" t="s">
        <v>218</v>
      </c>
      <c r="E45" s="27"/>
      <c r="F45" s="27" t="s">
        <v>218</v>
      </c>
      <c r="G45" s="27"/>
      <c r="H45" s="27" t="s">
        <v>218</v>
      </c>
      <c r="I45" s="27"/>
      <c r="J45" s="27" t="s">
        <v>218</v>
      </c>
      <c r="K45" s="27"/>
      <c r="L45" s="27" t="s">
        <v>218</v>
      </c>
      <c r="M45" s="27"/>
      <c r="N45" s="8" t="s">
        <v>218</v>
      </c>
      <c r="O45" s="8"/>
      <c r="P45" s="27" t="s">
        <v>218</v>
      </c>
      <c r="Q45" s="27"/>
      <c r="R45" s="8" t="s">
        <v>218</v>
      </c>
      <c r="S45" s="8"/>
      <c r="T45" s="19" t="str">
        <f t="shared" si="0"/>
        <v/>
      </c>
      <c r="AP45"/>
    </row>
    <row r="46" spans="1:42" ht="28" hidden="1" x14ac:dyDescent="0.25">
      <c r="A46" s="7"/>
      <c r="B46" s="7"/>
      <c r="C46" s="26" t="s">
        <v>89</v>
      </c>
      <c r="D46" s="7"/>
      <c r="E46" s="7"/>
      <c r="F46" s="35"/>
      <c r="G46" s="35"/>
      <c r="H46" s="7"/>
      <c r="I46" s="7"/>
      <c r="J46" s="35"/>
      <c r="K46" s="35"/>
      <c r="L46" s="7"/>
      <c r="M46" s="7"/>
      <c r="N46" s="35"/>
      <c r="O46" s="35"/>
      <c r="P46" s="7"/>
      <c r="Q46" s="7"/>
      <c r="R46" s="35"/>
      <c r="S46" s="35"/>
      <c r="T46" s="19" t="str">
        <f t="shared" si="0"/>
        <v/>
      </c>
      <c r="AP46"/>
    </row>
    <row r="47" spans="1:42" ht="126.5" hidden="1" x14ac:dyDescent="0.25">
      <c r="A47" s="8" t="s">
        <v>260</v>
      </c>
      <c r="B47" s="3" t="s">
        <v>90</v>
      </c>
      <c r="C47" s="3" t="s">
        <v>294</v>
      </c>
      <c r="D47" s="29" t="s">
        <v>220</v>
      </c>
      <c r="E47" s="29"/>
      <c r="F47" s="29" t="s">
        <v>220</v>
      </c>
      <c r="G47" s="29"/>
      <c r="H47" s="29" t="s">
        <v>220</v>
      </c>
      <c r="I47" s="29"/>
      <c r="J47" s="29" t="s">
        <v>220</v>
      </c>
      <c r="K47" s="29"/>
      <c r="L47" s="29" t="s">
        <v>220</v>
      </c>
      <c r="M47" s="29"/>
      <c r="N47" s="29" t="s">
        <v>220</v>
      </c>
      <c r="O47" s="29"/>
      <c r="P47" s="29" t="s">
        <v>220</v>
      </c>
      <c r="Q47" s="29"/>
      <c r="R47" s="29" t="s">
        <v>220</v>
      </c>
      <c r="S47" s="29"/>
      <c r="T47" s="19" t="str">
        <f t="shared" si="0"/>
        <v/>
      </c>
      <c r="AP47"/>
    </row>
    <row r="48" spans="1:42" ht="140" x14ac:dyDescent="0.25">
      <c r="A48" s="8" t="s">
        <v>261</v>
      </c>
      <c r="B48" s="3" t="s">
        <v>91</v>
      </c>
      <c r="C48" s="3" t="s">
        <v>92</v>
      </c>
      <c r="D48" s="24" t="s">
        <v>18</v>
      </c>
      <c r="E48" s="24" t="s">
        <v>366</v>
      </c>
      <c r="F48" s="24" t="s">
        <v>18</v>
      </c>
      <c r="G48" s="24" t="s">
        <v>367</v>
      </c>
      <c r="H48" s="24" t="s">
        <v>18</v>
      </c>
      <c r="I48" s="24" t="s">
        <v>366</v>
      </c>
      <c r="J48" s="24" t="s">
        <v>18</v>
      </c>
      <c r="K48" s="24" t="s">
        <v>368</v>
      </c>
      <c r="L48" s="24" t="s">
        <v>18</v>
      </c>
      <c r="M48" s="24" t="s">
        <v>369</v>
      </c>
      <c r="N48" s="24" t="s">
        <v>18</v>
      </c>
      <c r="O48" s="24" t="s">
        <v>370</v>
      </c>
      <c r="P48" s="24" t="s">
        <v>18</v>
      </c>
      <c r="Q48" s="24" t="s">
        <v>370</v>
      </c>
      <c r="R48" s="24" t="s">
        <v>18</v>
      </c>
      <c r="S48" s="24" t="s">
        <v>371</v>
      </c>
      <c r="T48" s="19" t="str">
        <f t="shared" si="0"/>
        <v>Esineb mittevastavus</v>
      </c>
      <c r="AP48"/>
    </row>
    <row r="49" spans="1:42" ht="42" hidden="1" customHeight="1" x14ac:dyDescent="0.25">
      <c r="A49" s="8" t="s">
        <v>262</v>
      </c>
      <c r="B49" s="3" t="s">
        <v>93</v>
      </c>
      <c r="C49" s="3" t="s">
        <v>94</v>
      </c>
      <c r="D49" s="29" t="s">
        <v>220</v>
      </c>
      <c r="E49" s="29"/>
      <c r="F49" s="29" t="s">
        <v>220</v>
      </c>
      <c r="G49" s="29"/>
      <c r="H49" s="29" t="s">
        <v>220</v>
      </c>
      <c r="I49" s="29"/>
      <c r="J49" s="29" t="s">
        <v>220</v>
      </c>
      <c r="K49" s="29"/>
      <c r="L49" s="29" t="s">
        <v>220</v>
      </c>
      <c r="M49" s="29"/>
      <c r="N49" s="29" t="s">
        <v>220</v>
      </c>
      <c r="O49" s="29"/>
      <c r="P49" s="29" t="s">
        <v>220</v>
      </c>
      <c r="Q49" s="29"/>
      <c r="R49" s="29" t="s">
        <v>220</v>
      </c>
      <c r="S49" s="29"/>
      <c r="T49" s="19" t="str">
        <f t="shared" si="0"/>
        <v/>
      </c>
      <c r="AP49"/>
    </row>
    <row r="50" spans="1:42" ht="42" x14ac:dyDescent="0.25">
      <c r="A50" s="8" t="s">
        <v>263</v>
      </c>
      <c r="B50" s="3" t="s">
        <v>95</v>
      </c>
      <c r="C50" s="3" t="s">
        <v>96</v>
      </c>
      <c r="D50" s="29" t="s">
        <v>220</v>
      </c>
      <c r="E50" s="29"/>
      <c r="F50" s="29" t="s">
        <v>220</v>
      </c>
      <c r="G50" s="29"/>
      <c r="H50" s="24" t="s">
        <v>18</v>
      </c>
      <c r="I50" s="24" t="s">
        <v>372</v>
      </c>
      <c r="J50" s="29" t="s">
        <v>220</v>
      </c>
      <c r="K50" s="29"/>
      <c r="L50" s="29" t="s">
        <v>220</v>
      </c>
      <c r="M50" s="29"/>
      <c r="N50" s="29" t="s">
        <v>220</v>
      </c>
      <c r="O50" s="29"/>
      <c r="P50" s="29" t="s">
        <v>220</v>
      </c>
      <c r="Q50" s="29"/>
      <c r="R50" s="29" t="s">
        <v>220</v>
      </c>
      <c r="S50" s="29"/>
      <c r="T50" s="19" t="str">
        <f t="shared" si="0"/>
        <v>Esineb mittevastavus</v>
      </c>
      <c r="AP50"/>
    </row>
    <row r="51" spans="1:42" ht="97" customHeight="1" x14ac:dyDescent="0.25">
      <c r="A51" s="8" t="s">
        <v>264</v>
      </c>
      <c r="B51" s="3" t="s">
        <v>97</v>
      </c>
      <c r="C51" s="3" t="s">
        <v>98</v>
      </c>
      <c r="D51" s="24" t="s">
        <v>18</v>
      </c>
      <c r="E51" s="24" t="s">
        <v>373</v>
      </c>
      <c r="F51" s="24" t="s">
        <v>18</v>
      </c>
      <c r="G51" s="24" t="s">
        <v>374</v>
      </c>
      <c r="H51" s="24" t="s">
        <v>18</v>
      </c>
      <c r="I51" s="24" t="s">
        <v>374</v>
      </c>
      <c r="J51" s="24" t="s">
        <v>18</v>
      </c>
      <c r="K51" s="24" t="s">
        <v>375</v>
      </c>
      <c r="L51" s="24" t="s">
        <v>18</v>
      </c>
      <c r="M51" s="24" t="s">
        <v>376</v>
      </c>
      <c r="N51" s="24" t="s">
        <v>18</v>
      </c>
      <c r="O51" s="24" t="s">
        <v>341</v>
      </c>
      <c r="P51" s="24" t="s">
        <v>18</v>
      </c>
      <c r="Q51" s="24" t="s">
        <v>341</v>
      </c>
      <c r="R51" s="24" t="s">
        <v>18</v>
      </c>
      <c r="S51" s="24" t="s">
        <v>341</v>
      </c>
      <c r="T51" s="19" t="str">
        <f t="shared" si="0"/>
        <v>Esineb mittevastavus</v>
      </c>
      <c r="AP51"/>
    </row>
    <row r="52" spans="1:42" ht="98" hidden="1" customHeight="1" x14ac:dyDescent="0.25">
      <c r="A52" s="8" t="s">
        <v>265</v>
      </c>
      <c r="B52" s="3" t="s">
        <v>99</v>
      </c>
      <c r="C52" s="3" t="s">
        <v>295</v>
      </c>
      <c r="D52" s="29" t="s">
        <v>220</v>
      </c>
      <c r="E52" s="29"/>
      <c r="F52" s="29" t="s">
        <v>220</v>
      </c>
      <c r="G52" s="29"/>
      <c r="H52" s="29" t="s">
        <v>220</v>
      </c>
      <c r="I52" s="29"/>
      <c r="J52" s="29" t="s">
        <v>220</v>
      </c>
      <c r="K52" s="29"/>
      <c r="L52" s="29" t="s">
        <v>220</v>
      </c>
      <c r="M52" s="29"/>
      <c r="N52" s="29" t="s">
        <v>220</v>
      </c>
      <c r="O52" s="29"/>
      <c r="P52" s="29" t="s">
        <v>220</v>
      </c>
      <c r="Q52" s="29"/>
      <c r="R52" s="29" t="s">
        <v>220</v>
      </c>
      <c r="S52" s="29"/>
      <c r="T52" s="19" t="str">
        <f t="shared" si="0"/>
        <v/>
      </c>
      <c r="AP52"/>
    </row>
    <row r="53" spans="1:42" ht="56" hidden="1" customHeight="1" x14ac:dyDescent="0.25">
      <c r="A53" s="8" t="s">
        <v>266</v>
      </c>
      <c r="B53" s="3" t="s">
        <v>100</v>
      </c>
      <c r="C53" s="3" t="s">
        <v>101</v>
      </c>
      <c r="D53" s="29" t="s">
        <v>220</v>
      </c>
      <c r="E53" s="29"/>
      <c r="F53" s="29" t="s">
        <v>220</v>
      </c>
      <c r="G53" s="29"/>
      <c r="H53" s="29" t="s">
        <v>220</v>
      </c>
      <c r="I53" s="29"/>
      <c r="J53" s="29" t="s">
        <v>220</v>
      </c>
      <c r="K53" s="29"/>
      <c r="L53" s="29" t="s">
        <v>220</v>
      </c>
      <c r="M53" s="29"/>
      <c r="N53" s="29" t="s">
        <v>220</v>
      </c>
      <c r="O53" s="29"/>
      <c r="P53" s="29" t="s">
        <v>220</v>
      </c>
      <c r="Q53" s="29"/>
      <c r="R53" s="29" t="s">
        <v>220</v>
      </c>
      <c r="S53" s="29"/>
      <c r="T53" s="19" t="str">
        <f t="shared" si="0"/>
        <v/>
      </c>
      <c r="AP53"/>
    </row>
    <row r="54" spans="1:42" ht="154.5" hidden="1" x14ac:dyDescent="0.25">
      <c r="A54" s="8" t="s">
        <v>267</v>
      </c>
      <c r="B54" s="3" t="s">
        <v>102</v>
      </c>
      <c r="C54" s="3" t="s">
        <v>296</v>
      </c>
      <c r="D54" s="29" t="s">
        <v>220</v>
      </c>
      <c r="E54" s="29"/>
      <c r="F54" s="29" t="s">
        <v>220</v>
      </c>
      <c r="G54" s="29"/>
      <c r="H54" s="29" t="s">
        <v>220</v>
      </c>
      <c r="I54" s="29"/>
      <c r="J54" s="29" t="s">
        <v>220</v>
      </c>
      <c r="K54" s="29"/>
      <c r="L54" s="29" t="s">
        <v>220</v>
      </c>
      <c r="M54" s="29"/>
      <c r="N54" s="29" t="s">
        <v>220</v>
      </c>
      <c r="O54" s="29"/>
      <c r="P54" s="29" t="s">
        <v>220</v>
      </c>
      <c r="Q54" s="29"/>
      <c r="R54" s="29" t="s">
        <v>220</v>
      </c>
      <c r="S54" s="29"/>
      <c r="T54" s="19" t="str">
        <f t="shared" si="0"/>
        <v/>
      </c>
      <c r="AP54"/>
    </row>
    <row r="55" spans="1:42" ht="28" hidden="1" x14ac:dyDescent="0.25">
      <c r="A55" s="7"/>
      <c r="B55" s="7"/>
      <c r="C55" s="26" t="s">
        <v>103</v>
      </c>
      <c r="D55" s="7"/>
      <c r="E55" s="7"/>
      <c r="F55" s="35"/>
      <c r="G55" s="35"/>
      <c r="H55" s="7"/>
      <c r="I55" s="7"/>
      <c r="J55" s="35"/>
      <c r="K55" s="35"/>
      <c r="L55" s="7"/>
      <c r="M55" s="7"/>
      <c r="N55" s="35"/>
      <c r="O55" s="35"/>
      <c r="P55" s="7"/>
      <c r="Q55" s="7"/>
      <c r="R55" s="35"/>
      <c r="S55" s="35"/>
      <c r="T55" s="19" t="str">
        <f t="shared" si="0"/>
        <v/>
      </c>
      <c r="AP55"/>
    </row>
    <row r="56" spans="1:42" ht="98" x14ac:dyDescent="0.25">
      <c r="A56" s="33" t="s">
        <v>268</v>
      </c>
      <c r="B56" s="22" t="s">
        <v>40</v>
      </c>
      <c r="C56" s="25" t="s">
        <v>104</v>
      </c>
      <c r="D56" s="24" t="s">
        <v>18</v>
      </c>
      <c r="E56" s="24" t="s">
        <v>342</v>
      </c>
      <c r="F56" s="24" t="s">
        <v>18</v>
      </c>
      <c r="G56" s="24" t="s">
        <v>343</v>
      </c>
      <c r="H56" s="24" t="s">
        <v>18</v>
      </c>
      <c r="I56" s="24" t="s">
        <v>344</v>
      </c>
      <c r="J56" s="24" t="s">
        <v>18</v>
      </c>
      <c r="K56" s="24" t="s">
        <v>344</v>
      </c>
      <c r="L56" s="24" t="s">
        <v>18</v>
      </c>
      <c r="M56" s="24" t="s">
        <v>345</v>
      </c>
      <c r="N56" s="24" t="s">
        <v>18</v>
      </c>
      <c r="O56" s="24" t="s">
        <v>346</v>
      </c>
      <c r="P56" s="24" t="s">
        <v>18</v>
      </c>
      <c r="Q56" s="24" t="s">
        <v>346</v>
      </c>
      <c r="R56" s="24" t="s">
        <v>18</v>
      </c>
      <c r="S56" s="24" t="s">
        <v>346</v>
      </c>
      <c r="T56" s="19" t="str">
        <f t="shared" si="0"/>
        <v>Esineb mittevastavus</v>
      </c>
      <c r="AP56"/>
    </row>
    <row r="57" spans="1:42" ht="379" customHeight="1" x14ac:dyDescent="0.25">
      <c r="A57" s="8" t="s">
        <v>269</v>
      </c>
      <c r="B57" s="3" t="s">
        <v>105</v>
      </c>
      <c r="C57" s="3" t="s">
        <v>297</v>
      </c>
      <c r="D57" s="24" t="s">
        <v>18</v>
      </c>
      <c r="E57" s="24" t="s">
        <v>347</v>
      </c>
      <c r="F57" s="24" t="s">
        <v>18</v>
      </c>
      <c r="G57" s="24" t="s">
        <v>377</v>
      </c>
      <c r="H57" s="24" t="s">
        <v>18</v>
      </c>
      <c r="I57" s="24" t="s">
        <v>348</v>
      </c>
      <c r="J57" s="24" t="s">
        <v>18</v>
      </c>
      <c r="K57" s="24" t="s">
        <v>349</v>
      </c>
      <c r="L57" s="24" t="s">
        <v>18</v>
      </c>
      <c r="M57" s="24" t="s">
        <v>350</v>
      </c>
      <c r="N57" s="24" t="s">
        <v>18</v>
      </c>
      <c r="O57" s="24" t="s">
        <v>351</v>
      </c>
      <c r="P57" s="24" t="s">
        <v>18</v>
      </c>
      <c r="Q57" s="24" t="s">
        <v>352</v>
      </c>
      <c r="R57" s="24" t="s">
        <v>18</v>
      </c>
      <c r="S57" s="24" t="s">
        <v>353</v>
      </c>
      <c r="T57" s="19" t="str">
        <f t="shared" si="0"/>
        <v>Esineb mittevastavus</v>
      </c>
      <c r="AP57"/>
    </row>
    <row r="58" spans="1:42" ht="84" x14ac:dyDescent="0.25">
      <c r="A58" s="8" t="s">
        <v>270</v>
      </c>
      <c r="B58" s="3" t="s">
        <v>106</v>
      </c>
      <c r="C58" s="3" t="s">
        <v>107</v>
      </c>
      <c r="D58" s="24" t="s">
        <v>18</v>
      </c>
      <c r="E58" s="24" t="s">
        <v>379</v>
      </c>
      <c r="F58" s="24" t="s">
        <v>18</v>
      </c>
      <c r="G58" s="24" t="s">
        <v>379</v>
      </c>
      <c r="H58" s="24" t="s">
        <v>18</v>
      </c>
      <c r="I58" s="24" t="s">
        <v>379</v>
      </c>
      <c r="J58" s="24" t="s">
        <v>18</v>
      </c>
      <c r="K58" s="24" t="s">
        <v>379</v>
      </c>
      <c r="L58" s="24" t="s">
        <v>18</v>
      </c>
      <c r="M58" s="24" t="s">
        <v>379</v>
      </c>
      <c r="N58" s="24" t="s">
        <v>18</v>
      </c>
      <c r="O58" s="24" t="s">
        <v>379</v>
      </c>
      <c r="P58" s="24" t="s">
        <v>18</v>
      </c>
      <c r="Q58" s="24" t="s">
        <v>379</v>
      </c>
      <c r="R58" s="24" t="s">
        <v>18</v>
      </c>
      <c r="S58" s="24" t="s">
        <v>379</v>
      </c>
      <c r="T58" s="19" t="str">
        <f t="shared" si="0"/>
        <v>Esineb mittevastavus</v>
      </c>
      <c r="AP58"/>
    </row>
    <row r="59" spans="1:42" ht="42" hidden="1" x14ac:dyDescent="0.25">
      <c r="A59" s="8" t="s">
        <v>271</v>
      </c>
      <c r="B59" s="3" t="s">
        <v>108</v>
      </c>
      <c r="C59" s="3" t="s">
        <v>109</v>
      </c>
      <c r="D59" s="29" t="s">
        <v>220</v>
      </c>
      <c r="E59" s="29"/>
      <c r="F59" s="29" t="s">
        <v>220</v>
      </c>
      <c r="G59" s="29"/>
      <c r="H59" s="29" t="s">
        <v>220</v>
      </c>
      <c r="I59" s="29"/>
      <c r="J59" s="29" t="s">
        <v>220</v>
      </c>
      <c r="K59" s="29"/>
      <c r="L59" s="29" t="s">
        <v>220</v>
      </c>
      <c r="M59" s="29"/>
      <c r="N59" s="29" t="s">
        <v>220</v>
      </c>
      <c r="O59" s="29"/>
      <c r="P59" s="29" t="s">
        <v>220</v>
      </c>
      <c r="Q59" s="29"/>
      <c r="R59" s="29" t="s">
        <v>220</v>
      </c>
      <c r="S59" s="29"/>
      <c r="T59" s="19" t="str">
        <f t="shared" si="0"/>
        <v/>
      </c>
      <c r="AP59"/>
    </row>
    <row r="60" spans="1:42" ht="42" hidden="1" x14ac:dyDescent="0.25">
      <c r="A60" s="8" t="s">
        <v>272</v>
      </c>
      <c r="B60" s="3" t="s">
        <v>110</v>
      </c>
      <c r="C60" s="3" t="s">
        <v>111</v>
      </c>
      <c r="D60" s="29" t="s">
        <v>220</v>
      </c>
      <c r="E60" s="29"/>
      <c r="F60" s="29" t="s">
        <v>220</v>
      </c>
      <c r="G60" s="29"/>
      <c r="H60" s="29" t="s">
        <v>220</v>
      </c>
      <c r="I60" s="29"/>
      <c r="J60" s="29" t="s">
        <v>220</v>
      </c>
      <c r="K60" s="29"/>
      <c r="L60" s="29" t="s">
        <v>220</v>
      </c>
      <c r="M60" s="29"/>
      <c r="N60" s="29" t="s">
        <v>220</v>
      </c>
      <c r="O60" s="29"/>
      <c r="P60" s="29" t="s">
        <v>220</v>
      </c>
      <c r="Q60" s="29"/>
      <c r="R60" s="29" t="s">
        <v>220</v>
      </c>
      <c r="S60" s="29"/>
      <c r="T60" s="19" t="str">
        <f t="shared" si="0"/>
        <v/>
      </c>
      <c r="AP60"/>
    </row>
    <row r="61" spans="1:42" ht="120" customHeight="1" x14ac:dyDescent="0.25">
      <c r="A61" s="8" t="s">
        <v>273</v>
      </c>
      <c r="B61" s="3" t="s">
        <v>112</v>
      </c>
      <c r="C61" s="3" t="s">
        <v>113</v>
      </c>
      <c r="D61" s="24" t="s">
        <v>18</v>
      </c>
      <c r="E61" s="24" t="s">
        <v>380</v>
      </c>
      <c r="F61" s="24" t="s">
        <v>18</v>
      </c>
      <c r="G61" s="24" t="s">
        <v>381</v>
      </c>
      <c r="H61" s="24" t="s">
        <v>18</v>
      </c>
      <c r="I61" s="24" t="s">
        <v>382</v>
      </c>
      <c r="J61" s="24" t="s">
        <v>18</v>
      </c>
      <c r="K61" s="24" t="s">
        <v>383</v>
      </c>
      <c r="L61" s="24" t="s">
        <v>18</v>
      </c>
      <c r="M61" s="24" t="s">
        <v>384</v>
      </c>
      <c r="N61" s="24" t="s">
        <v>18</v>
      </c>
      <c r="O61" s="24" t="s">
        <v>383</v>
      </c>
      <c r="P61" s="24" t="s">
        <v>18</v>
      </c>
      <c r="Q61" s="24" t="s">
        <v>383</v>
      </c>
      <c r="R61" s="24" t="s">
        <v>18</v>
      </c>
      <c r="S61" s="24" t="s">
        <v>383</v>
      </c>
      <c r="T61" s="19" t="str">
        <f t="shared" si="0"/>
        <v>Esineb mittevastavus</v>
      </c>
      <c r="AP61"/>
    </row>
    <row r="62" spans="1:42" ht="138.5" customHeight="1" x14ac:dyDescent="0.25">
      <c r="A62" s="8" t="s">
        <v>274</v>
      </c>
      <c r="B62" s="3" t="s">
        <v>114</v>
      </c>
      <c r="C62" s="3" t="s">
        <v>115</v>
      </c>
      <c r="D62" s="24" t="s">
        <v>18</v>
      </c>
      <c r="E62" s="24" t="s">
        <v>385</v>
      </c>
      <c r="F62" s="24" t="s">
        <v>18</v>
      </c>
      <c r="G62" s="24" t="s">
        <v>386</v>
      </c>
      <c r="H62" s="24" t="s">
        <v>18</v>
      </c>
      <c r="I62" s="24" t="s">
        <v>385</v>
      </c>
      <c r="J62" s="24" t="s">
        <v>18</v>
      </c>
      <c r="K62" s="24" t="s">
        <v>387</v>
      </c>
      <c r="L62" s="27" t="s">
        <v>218</v>
      </c>
      <c r="M62" s="27"/>
      <c r="N62" s="8" t="s">
        <v>218</v>
      </c>
      <c r="O62" s="8"/>
      <c r="P62" s="27" t="s">
        <v>218</v>
      </c>
      <c r="Q62" s="27"/>
      <c r="R62" s="24" t="s">
        <v>18</v>
      </c>
      <c r="S62" s="24" t="s">
        <v>385</v>
      </c>
      <c r="T62" s="19" t="str">
        <f t="shared" si="0"/>
        <v>Esineb mittevastavus</v>
      </c>
      <c r="AP62"/>
    </row>
    <row r="63" spans="1:42" ht="42" hidden="1" x14ac:dyDescent="0.25">
      <c r="A63" s="9" t="s">
        <v>116</v>
      </c>
      <c r="B63" s="3" t="s">
        <v>117</v>
      </c>
      <c r="C63" s="3" t="s">
        <v>226</v>
      </c>
      <c r="D63" s="27" t="s">
        <v>218</v>
      </c>
      <c r="E63" s="27"/>
      <c r="F63" s="27" t="s">
        <v>218</v>
      </c>
      <c r="G63" s="27"/>
      <c r="H63" s="27" t="s">
        <v>218</v>
      </c>
      <c r="I63" s="27"/>
      <c r="J63" s="27" t="s">
        <v>218</v>
      </c>
      <c r="K63" s="27"/>
      <c r="L63" s="27" t="s">
        <v>218</v>
      </c>
      <c r="M63" s="27"/>
      <c r="N63" s="29" t="s">
        <v>220</v>
      </c>
      <c r="O63" s="29"/>
      <c r="P63" s="27" t="s">
        <v>218</v>
      </c>
      <c r="Q63" s="27"/>
      <c r="R63" s="8" t="s">
        <v>218</v>
      </c>
      <c r="S63" s="8"/>
      <c r="T63" s="19" t="str">
        <f t="shared" si="0"/>
        <v/>
      </c>
      <c r="AP63"/>
    </row>
    <row r="64" spans="1:42" ht="28" hidden="1" x14ac:dyDescent="0.25">
      <c r="A64" s="7"/>
      <c r="B64" s="7"/>
      <c r="C64" s="26" t="s">
        <v>118</v>
      </c>
      <c r="D64" s="7"/>
      <c r="E64" s="7"/>
      <c r="F64" s="35"/>
      <c r="G64" s="35"/>
      <c r="H64" s="7"/>
      <c r="I64" s="7"/>
      <c r="J64" s="35"/>
      <c r="K64" s="35"/>
      <c r="L64" s="7"/>
      <c r="M64" s="7"/>
      <c r="N64" s="35"/>
      <c r="O64" s="35"/>
      <c r="P64" s="7"/>
      <c r="Q64" s="7"/>
      <c r="R64" s="35"/>
      <c r="S64" s="35"/>
      <c r="T64" s="19" t="str">
        <f t="shared" si="0"/>
        <v/>
      </c>
      <c r="AP64"/>
    </row>
    <row r="65" spans="1:42" ht="28" hidden="1" x14ac:dyDescent="0.25">
      <c r="A65" s="9" t="s">
        <v>119</v>
      </c>
      <c r="B65" s="3" t="s">
        <v>120</v>
      </c>
      <c r="C65" s="3" t="s">
        <v>121</v>
      </c>
      <c r="D65" s="32" t="s">
        <v>218</v>
      </c>
      <c r="E65" s="32"/>
      <c r="F65" s="32" t="s">
        <v>218</v>
      </c>
      <c r="G65" s="32"/>
      <c r="H65" s="32" t="s">
        <v>218</v>
      </c>
      <c r="I65" s="32"/>
      <c r="J65" s="32" t="s">
        <v>218</v>
      </c>
      <c r="K65" s="32"/>
      <c r="L65" s="32" t="s">
        <v>218</v>
      </c>
      <c r="M65" s="32"/>
      <c r="N65" s="8" t="s">
        <v>218</v>
      </c>
      <c r="O65" s="8"/>
      <c r="P65" s="27" t="s">
        <v>218</v>
      </c>
      <c r="Q65" s="27"/>
      <c r="R65" s="8" t="s">
        <v>218</v>
      </c>
      <c r="S65" s="8"/>
      <c r="T65" s="19" t="str">
        <f t="shared" si="0"/>
        <v/>
      </c>
      <c r="AP65"/>
    </row>
    <row r="66" spans="1:42" ht="42" hidden="1" x14ac:dyDescent="0.25">
      <c r="A66" s="7"/>
      <c r="B66" s="7"/>
      <c r="C66" s="26" t="s">
        <v>122</v>
      </c>
      <c r="D66" s="7"/>
      <c r="E66" s="7"/>
      <c r="F66" s="35"/>
      <c r="G66" s="35"/>
      <c r="H66" s="7"/>
      <c r="I66" s="7"/>
      <c r="J66" s="35"/>
      <c r="K66" s="35"/>
      <c r="L66" s="7"/>
      <c r="M66" s="7"/>
      <c r="N66" s="35"/>
      <c r="O66" s="35"/>
      <c r="P66" s="7"/>
      <c r="Q66" s="7"/>
      <c r="R66" s="35"/>
      <c r="S66" s="35"/>
      <c r="T66" s="19" t="str">
        <f t="shared" si="0"/>
        <v/>
      </c>
      <c r="AP66"/>
    </row>
    <row r="67" spans="1:42" ht="28" hidden="1" x14ac:dyDescent="0.25">
      <c r="A67" s="9" t="s">
        <v>123</v>
      </c>
      <c r="B67" s="3" t="s">
        <v>124</v>
      </c>
      <c r="C67" s="3" t="s">
        <v>125</v>
      </c>
      <c r="D67" s="32" t="s">
        <v>218</v>
      </c>
      <c r="E67" s="32"/>
      <c r="F67" s="32" t="s">
        <v>218</v>
      </c>
      <c r="G67" s="32"/>
      <c r="H67" s="32" t="s">
        <v>218</v>
      </c>
      <c r="I67" s="32"/>
      <c r="J67" s="32" t="s">
        <v>218</v>
      </c>
      <c r="K67" s="32"/>
      <c r="L67" s="32" t="s">
        <v>218</v>
      </c>
      <c r="M67" s="32"/>
      <c r="N67" s="8" t="s">
        <v>218</v>
      </c>
      <c r="O67" s="8"/>
      <c r="P67" s="27" t="s">
        <v>218</v>
      </c>
      <c r="Q67" s="27"/>
      <c r="R67" s="8" t="s">
        <v>218</v>
      </c>
      <c r="S67" s="8"/>
      <c r="T67" s="19" t="str">
        <f t="shared" si="0"/>
        <v/>
      </c>
      <c r="AP67"/>
    </row>
    <row r="68" spans="1:42" ht="141" hidden="1" x14ac:dyDescent="0.25">
      <c r="A68" s="9" t="s">
        <v>126</v>
      </c>
      <c r="B68" s="3" t="s">
        <v>127</v>
      </c>
      <c r="C68" s="3" t="s">
        <v>128</v>
      </c>
      <c r="D68" s="32" t="s">
        <v>218</v>
      </c>
      <c r="E68" s="32"/>
      <c r="F68" s="32" t="s">
        <v>218</v>
      </c>
      <c r="G68" s="32"/>
      <c r="H68" s="32" t="s">
        <v>218</v>
      </c>
      <c r="I68" s="32"/>
      <c r="J68" s="32" t="s">
        <v>218</v>
      </c>
      <c r="K68" s="32"/>
      <c r="L68" s="32" t="s">
        <v>218</v>
      </c>
      <c r="M68" s="32"/>
      <c r="N68" s="8" t="s">
        <v>218</v>
      </c>
      <c r="O68" s="8"/>
      <c r="P68" s="27" t="s">
        <v>218</v>
      </c>
      <c r="Q68" s="27"/>
      <c r="R68" s="8" t="s">
        <v>218</v>
      </c>
      <c r="S68" s="8"/>
      <c r="T68" s="19" t="str">
        <f t="shared" si="0"/>
        <v/>
      </c>
      <c r="AP68"/>
    </row>
    <row r="69" spans="1:42" ht="28" hidden="1" x14ac:dyDescent="0.25">
      <c r="A69" s="9" t="s">
        <v>129</v>
      </c>
      <c r="B69" s="3" t="s">
        <v>130</v>
      </c>
      <c r="C69" s="3" t="s">
        <v>131</v>
      </c>
      <c r="D69" s="32" t="s">
        <v>218</v>
      </c>
      <c r="E69" s="32"/>
      <c r="F69" s="32" t="s">
        <v>218</v>
      </c>
      <c r="G69" s="32"/>
      <c r="H69" s="32" t="s">
        <v>218</v>
      </c>
      <c r="I69" s="32"/>
      <c r="J69" s="32" t="s">
        <v>218</v>
      </c>
      <c r="K69" s="32"/>
      <c r="L69" s="32" t="s">
        <v>218</v>
      </c>
      <c r="M69" s="32"/>
      <c r="N69" s="8" t="s">
        <v>218</v>
      </c>
      <c r="O69" s="8"/>
      <c r="P69" s="27" t="s">
        <v>218</v>
      </c>
      <c r="Q69" s="27"/>
      <c r="R69" s="8" t="s">
        <v>218</v>
      </c>
      <c r="S69" s="8"/>
      <c r="T69" s="19" t="str">
        <f t="shared" ref="T69:T100" si="1">IF(OR(D69="MV",F69="MV",H69="MV",J69="MV",L69="MV",N69="MV",P69="MV",R69="MV",),"Esineb mittevastavus","")</f>
        <v/>
      </c>
      <c r="AP69"/>
    </row>
    <row r="70" spans="1:42" ht="98" hidden="1" x14ac:dyDescent="0.25">
      <c r="A70" s="9" t="s">
        <v>132</v>
      </c>
      <c r="B70" s="3" t="s">
        <v>133</v>
      </c>
      <c r="C70" s="3" t="s">
        <v>134</v>
      </c>
      <c r="D70" s="32" t="s">
        <v>218</v>
      </c>
      <c r="E70" s="32"/>
      <c r="F70" s="32" t="s">
        <v>218</v>
      </c>
      <c r="G70" s="32"/>
      <c r="H70" s="32" t="s">
        <v>218</v>
      </c>
      <c r="I70" s="32"/>
      <c r="J70" s="32" t="s">
        <v>218</v>
      </c>
      <c r="K70" s="32"/>
      <c r="L70" s="32" t="s">
        <v>218</v>
      </c>
      <c r="M70" s="32"/>
      <c r="N70" s="8" t="s">
        <v>218</v>
      </c>
      <c r="O70" s="8"/>
      <c r="P70" s="27" t="s">
        <v>218</v>
      </c>
      <c r="Q70" s="27"/>
      <c r="R70" s="8" t="s">
        <v>218</v>
      </c>
      <c r="S70" s="8"/>
      <c r="T70" s="19" t="str">
        <f t="shared" si="1"/>
        <v/>
      </c>
      <c r="AP70"/>
    </row>
    <row r="71" spans="1:42" ht="98" hidden="1" x14ac:dyDescent="0.25">
      <c r="A71" s="9" t="s">
        <v>135</v>
      </c>
      <c r="B71" s="3" t="s">
        <v>136</v>
      </c>
      <c r="C71" s="3" t="s">
        <v>137</v>
      </c>
      <c r="D71" s="32" t="s">
        <v>218</v>
      </c>
      <c r="E71" s="32"/>
      <c r="F71" s="32" t="s">
        <v>218</v>
      </c>
      <c r="G71" s="32"/>
      <c r="H71" s="32" t="s">
        <v>218</v>
      </c>
      <c r="I71" s="32"/>
      <c r="J71" s="32" t="s">
        <v>218</v>
      </c>
      <c r="K71" s="32"/>
      <c r="L71" s="32" t="s">
        <v>218</v>
      </c>
      <c r="M71" s="32"/>
      <c r="N71" s="8" t="s">
        <v>218</v>
      </c>
      <c r="O71" s="8"/>
      <c r="P71" s="27" t="s">
        <v>218</v>
      </c>
      <c r="Q71" s="27"/>
      <c r="R71" s="8" t="s">
        <v>218</v>
      </c>
      <c r="S71" s="8"/>
      <c r="T71" s="19" t="str">
        <f t="shared" si="1"/>
        <v/>
      </c>
      <c r="AP71"/>
    </row>
    <row r="72" spans="1:42" ht="112" hidden="1" x14ac:dyDescent="0.25">
      <c r="A72" s="9" t="s">
        <v>138</v>
      </c>
      <c r="B72" s="3" t="s">
        <v>139</v>
      </c>
      <c r="C72" s="3" t="s">
        <v>140</v>
      </c>
      <c r="D72" s="32" t="s">
        <v>218</v>
      </c>
      <c r="E72" s="32"/>
      <c r="F72" s="32" t="s">
        <v>218</v>
      </c>
      <c r="G72" s="32"/>
      <c r="H72" s="32" t="s">
        <v>218</v>
      </c>
      <c r="I72" s="32"/>
      <c r="J72" s="32" t="s">
        <v>218</v>
      </c>
      <c r="K72" s="32"/>
      <c r="L72" s="32" t="s">
        <v>218</v>
      </c>
      <c r="M72" s="32"/>
      <c r="N72" s="8" t="s">
        <v>218</v>
      </c>
      <c r="O72" s="8"/>
      <c r="P72" s="27" t="s">
        <v>218</v>
      </c>
      <c r="Q72" s="27"/>
      <c r="R72" s="8" t="s">
        <v>218</v>
      </c>
      <c r="S72" s="8"/>
      <c r="T72" s="19" t="str">
        <f t="shared" si="1"/>
        <v/>
      </c>
      <c r="AP72"/>
    </row>
    <row r="73" spans="1:42" ht="84" hidden="1" x14ac:dyDescent="0.25">
      <c r="A73" s="9" t="s">
        <v>141</v>
      </c>
      <c r="B73" s="3" t="s">
        <v>142</v>
      </c>
      <c r="C73" s="3" t="s">
        <v>143</v>
      </c>
      <c r="D73" s="32" t="s">
        <v>218</v>
      </c>
      <c r="E73" s="32"/>
      <c r="F73" s="32" t="s">
        <v>218</v>
      </c>
      <c r="G73" s="32"/>
      <c r="H73" s="32" t="s">
        <v>218</v>
      </c>
      <c r="I73" s="32"/>
      <c r="J73" s="32" t="s">
        <v>218</v>
      </c>
      <c r="K73" s="32"/>
      <c r="L73" s="32" t="s">
        <v>218</v>
      </c>
      <c r="M73" s="32"/>
      <c r="N73" s="8" t="s">
        <v>218</v>
      </c>
      <c r="O73" s="8"/>
      <c r="P73" s="27" t="s">
        <v>218</v>
      </c>
      <c r="Q73" s="27"/>
      <c r="R73" s="8" t="s">
        <v>218</v>
      </c>
      <c r="S73" s="8"/>
      <c r="T73" s="19" t="str">
        <f t="shared" si="1"/>
        <v/>
      </c>
      <c r="AP73"/>
    </row>
    <row r="74" spans="1:42" ht="100" hidden="1" x14ac:dyDescent="0.25">
      <c r="A74" s="9" t="s">
        <v>144</v>
      </c>
      <c r="B74" s="3" t="s">
        <v>145</v>
      </c>
      <c r="C74" s="3" t="s">
        <v>146</v>
      </c>
      <c r="D74" s="32" t="s">
        <v>218</v>
      </c>
      <c r="E74" s="32"/>
      <c r="F74" s="32" t="s">
        <v>218</v>
      </c>
      <c r="G74" s="32"/>
      <c r="H74" s="32" t="s">
        <v>218</v>
      </c>
      <c r="I74" s="32"/>
      <c r="J74" s="32" t="s">
        <v>218</v>
      </c>
      <c r="K74" s="32"/>
      <c r="L74" s="32" t="s">
        <v>218</v>
      </c>
      <c r="M74" s="32"/>
      <c r="N74" s="8" t="s">
        <v>218</v>
      </c>
      <c r="O74" s="8"/>
      <c r="P74" s="27" t="s">
        <v>218</v>
      </c>
      <c r="Q74" s="27"/>
      <c r="R74" s="8" t="s">
        <v>218</v>
      </c>
      <c r="S74" s="8"/>
      <c r="T74" s="19" t="str">
        <f t="shared" si="1"/>
        <v/>
      </c>
      <c r="AP74"/>
    </row>
    <row r="75" spans="1:42" ht="99.5" hidden="1" x14ac:dyDescent="0.25">
      <c r="A75" s="9" t="s">
        <v>144</v>
      </c>
      <c r="B75" s="3" t="s">
        <v>147</v>
      </c>
      <c r="C75" s="3" t="s">
        <v>148</v>
      </c>
      <c r="D75" s="32" t="s">
        <v>218</v>
      </c>
      <c r="E75" s="32"/>
      <c r="F75" s="32" t="s">
        <v>218</v>
      </c>
      <c r="G75" s="32"/>
      <c r="H75" s="32" t="s">
        <v>218</v>
      </c>
      <c r="I75" s="32"/>
      <c r="J75" s="32" t="s">
        <v>218</v>
      </c>
      <c r="K75" s="32"/>
      <c r="L75" s="32" t="s">
        <v>218</v>
      </c>
      <c r="M75" s="32"/>
      <c r="N75" s="8" t="s">
        <v>218</v>
      </c>
      <c r="O75" s="8"/>
      <c r="P75" s="27" t="s">
        <v>218</v>
      </c>
      <c r="Q75" s="27"/>
      <c r="R75" s="8" t="s">
        <v>218</v>
      </c>
      <c r="S75" s="8"/>
      <c r="T75" s="19" t="str">
        <f t="shared" si="1"/>
        <v/>
      </c>
      <c r="AP75"/>
    </row>
    <row r="76" spans="1:42" ht="169" hidden="1" x14ac:dyDescent="0.25">
      <c r="A76" s="9" t="s">
        <v>144</v>
      </c>
      <c r="B76" s="3" t="s">
        <v>149</v>
      </c>
      <c r="C76" s="3" t="s">
        <v>150</v>
      </c>
      <c r="D76" s="32" t="s">
        <v>218</v>
      </c>
      <c r="E76" s="32"/>
      <c r="F76" s="32" t="s">
        <v>218</v>
      </c>
      <c r="G76" s="32"/>
      <c r="H76" s="32" t="s">
        <v>218</v>
      </c>
      <c r="I76" s="32"/>
      <c r="J76" s="32" t="s">
        <v>218</v>
      </c>
      <c r="K76" s="32"/>
      <c r="L76" s="32" t="s">
        <v>218</v>
      </c>
      <c r="M76" s="32"/>
      <c r="N76" s="8" t="s">
        <v>218</v>
      </c>
      <c r="O76" s="8"/>
      <c r="P76" s="27" t="s">
        <v>218</v>
      </c>
      <c r="Q76" s="27"/>
      <c r="R76" s="8" t="s">
        <v>218</v>
      </c>
      <c r="S76" s="8"/>
      <c r="T76" s="19" t="str">
        <f t="shared" si="1"/>
        <v/>
      </c>
      <c r="AP76"/>
    </row>
    <row r="77" spans="1:42" ht="126.5" hidden="1" x14ac:dyDescent="0.25">
      <c r="A77" s="9" t="s">
        <v>144</v>
      </c>
      <c r="B77" s="3" t="s">
        <v>151</v>
      </c>
      <c r="C77" s="3" t="s">
        <v>152</v>
      </c>
      <c r="D77" s="32" t="s">
        <v>218</v>
      </c>
      <c r="E77" s="32"/>
      <c r="F77" s="32" t="s">
        <v>218</v>
      </c>
      <c r="G77" s="32"/>
      <c r="H77" s="32" t="s">
        <v>218</v>
      </c>
      <c r="I77" s="32"/>
      <c r="J77" s="32" t="s">
        <v>218</v>
      </c>
      <c r="K77" s="32"/>
      <c r="L77" s="32" t="s">
        <v>218</v>
      </c>
      <c r="M77" s="32"/>
      <c r="N77" s="8" t="s">
        <v>218</v>
      </c>
      <c r="O77" s="8"/>
      <c r="P77" s="27" t="s">
        <v>218</v>
      </c>
      <c r="Q77" s="27"/>
      <c r="R77" s="8" t="s">
        <v>218</v>
      </c>
      <c r="S77" s="8"/>
      <c r="T77" s="19" t="str">
        <f t="shared" si="1"/>
        <v/>
      </c>
      <c r="AP77"/>
    </row>
    <row r="78" spans="1:42" ht="28" hidden="1" x14ac:dyDescent="0.25">
      <c r="A78" s="9" t="s">
        <v>153</v>
      </c>
      <c r="B78" s="3" t="s">
        <v>154</v>
      </c>
      <c r="C78" s="3" t="s">
        <v>155</v>
      </c>
      <c r="D78" s="32" t="s">
        <v>218</v>
      </c>
      <c r="E78" s="32"/>
      <c r="F78" s="32" t="s">
        <v>218</v>
      </c>
      <c r="G78" s="32"/>
      <c r="H78" s="32" t="s">
        <v>218</v>
      </c>
      <c r="I78" s="32"/>
      <c r="J78" s="32" t="s">
        <v>218</v>
      </c>
      <c r="K78" s="32"/>
      <c r="L78" s="32" t="s">
        <v>218</v>
      </c>
      <c r="M78" s="32"/>
      <c r="N78" s="8" t="s">
        <v>218</v>
      </c>
      <c r="O78" s="8"/>
      <c r="P78" s="27" t="s">
        <v>218</v>
      </c>
      <c r="Q78" s="27"/>
      <c r="R78" s="8" t="s">
        <v>218</v>
      </c>
      <c r="S78" s="8"/>
      <c r="T78" s="19" t="str">
        <f t="shared" si="1"/>
        <v/>
      </c>
      <c r="AP78"/>
    </row>
    <row r="79" spans="1:42" ht="28" hidden="1" x14ac:dyDescent="0.25">
      <c r="A79" s="9" t="s">
        <v>156</v>
      </c>
      <c r="B79" s="3" t="s">
        <v>157</v>
      </c>
      <c r="C79" s="3" t="s">
        <v>158</v>
      </c>
      <c r="D79" s="32" t="s">
        <v>218</v>
      </c>
      <c r="E79" s="32"/>
      <c r="F79" s="32" t="s">
        <v>218</v>
      </c>
      <c r="G79" s="32"/>
      <c r="H79" s="32" t="s">
        <v>218</v>
      </c>
      <c r="I79" s="32"/>
      <c r="J79" s="32" t="s">
        <v>218</v>
      </c>
      <c r="K79" s="32"/>
      <c r="L79" s="32" t="s">
        <v>218</v>
      </c>
      <c r="M79" s="32"/>
      <c r="N79" s="8" t="s">
        <v>218</v>
      </c>
      <c r="O79" s="8"/>
      <c r="P79" s="27" t="s">
        <v>218</v>
      </c>
      <c r="Q79" s="27"/>
      <c r="R79" s="8" t="s">
        <v>218</v>
      </c>
      <c r="S79" s="8"/>
      <c r="T79" s="19" t="str">
        <f t="shared" si="1"/>
        <v/>
      </c>
      <c r="AP79"/>
    </row>
    <row r="80" spans="1:42" ht="85" hidden="1" x14ac:dyDescent="0.25">
      <c r="A80" s="9" t="s">
        <v>159</v>
      </c>
      <c r="B80" s="3" t="s">
        <v>160</v>
      </c>
      <c r="C80" s="3" t="s">
        <v>161</v>
      </c>
      <c r="D80" s="32" t="s">
        <v>218</v>
      </c>
      <c r="E80" s="32"/>
      <c r="F80" s="32" t="s">
        <v>218</v>
      </c>
      <c r="G80" s="32"/>
      <c r="H80" s="32" t="s">
        <v>218</v>
      </c>
      <c r="I80" s="32"/>
      <c r="J80" s="32" t="s">
        <v>218</v>
      </c>
      <c r="K80" s="32"/>
      <c r="L80" s="32" t="s">
        <v>218</v>
      </c>
      <c r="M80" s="32"/>
      <c r="N80" s="8" t="s">
        <v>218</v>
      </c>
      <c r="O80" s="8"/>
      <c r="P80" s="27" t="s">
        <v>218</v>
      </c>
      <c r="Q80" s="27"/>
      <c r="R80" s="8" t="s">
        <v>218</v>
      </c>
      <c r="S80" s="8"/>
      <c r="T80" s="19" t="str">
        <f t="shared" si="1"/>
        <v/>
      </c>
      <c r="AP80"/>
    </row>
    <row r="81" spans="1:42" ht="28.5" hidden="1" x14ac:dyDescent="0.25">
      <c r="A81" s="9" t="s">
        <v>162</v>
      </c>
      <c r="B81" s="3" t="s">
        <v>163</v>
      </c>
      <c r="C81" s="3" t="s">
        <v>164</v>
      </c>
      <c r="D81" s="32" t="s">
        <v>218</v>
      </c>
      <c r="E81" s="32"/>
      <c r="F81" s="32" t="s">
        <v>218</v>
      </c>
      <c r="G81" s="32"/>
      <c r="H81" s="32" t="s">
        <v>218</v>
      </c>
      <c r="I81" s="32"/>
      <c r="J81" s="32" t="s">
        <v>218</v>
      </c>
      <c r="K81" s="32"/>
      <c r="L81" s="32" t="s">
        <v>218</v>
      </c>
      <c r="M81" s="32"/>
      <c r="N81" s="8" t="s">
        <v>218</v>
      </c>
      <c r="O81" s="8"/>
      <c r="P81" s="27" t="s">
        <v>218</v>
      </c>
      <c r="Q81" s="27"/>
      <c r="R81" s="8" t="s">
        <v>218</v>
      </c>
      <c r="S81" s="8"/>
      <c r="T81" s="19" t="str">
        <f t="shared" si="1"/>
        <v/>
      </c>
      <c r="AP81"/>
    </row>
    <row r="82" spans="1:42" ht="29" hidden="1" x14ac:dyDescent="0.25">
      <c r="A82" s="9" t="s">
        <v>165</v>
      </c>
      <c r="B82" s="3" t="s">
        <v>166</v>
      </c>
      <c r="C82" s="3" t="s">
        <v>167</v>
      </c>
      <c r="D82" s="32" t="s">
        <v>218</v>
      </c>
      <c r="E82" s="32"/>
      <c r="F82" s="32" t="s">
        <v>218</v>
      </c>
      <c r="G82" s="32"/>
      <c r="H82" s="32" t="s">
        <v>218</v>
      </c>
      <c r="I82" s="32"/>
      <c r="J82" s="32" t="s">
        <v>218</v>
      </c>
      <c r="K82" s="32"/>
      <c r="L82" s="32" t="s">
        <v>218</v>
      </c>
      <c r="M82" s="32"/>
      <c r="N82" s="8" t="s">
        <v>218</v>
      </c>
      <c r="O82" s="8"/>
      <c r="P82" s="27" t="s">
        <v>218</v>
      </c>
      <c r="Q82" s="27"/>
      <c r="R82" s="8" t="s">
        <v>218</v>
      </c>
      <c r="S82" s="8"/>
      <c r="T82" s="19" t="str">
        <f t="shared" si="1"/>
        <v/>
      </c>
      <c r="AP82"/>
    </row>
    <row r="83" spans="1:42" ht="42.5" hidden="1" x14ac:dyDescent="0.25">
      <c r="A83" s="9" t="s">
        <v>168</v>
      </c>
      <c r="B83" s="3" t="s">
        <v>169</v>
      </c>
      <c r="C83" s="3" t="s">
        <v>170</v>
      </c>
      <c r="D83" s="32" t="s">
        <v>218</v>
      </c>
      <c r="E83" s="32"/>
      <c r="F83" s="32" t="s">
        <v>218</v>
      </c>
      <c r="G83" s="32"/>
      <c r="H83" s="32" t="s">
        <v>218</v>
      </c>
      <c r="I83" s="32"/>
      <c r="J83" s="32" t="s">
        <v>218</v>
      </c>
      <c r="K83" s="32"/>
      <c r="L83" s="32" t="s">
        <v>218</v>
      </c>
      <c r="M83" s="32"/>
      <c r="N83" s="8" t="s">
        <v>218</v>
      </c>
      <c r="O83" s="8"/>
      <c r="P83" s="27" t="s">
        <v>218</v>
      </c>
      <c r="Q83" s="27"/>
      <c r="R83" s="8" t="s">
        <v>218</v>
      </c>
      <c r="S83" s="8"/>
      <c r="T83" s="19" t="str">
        <f t="shared" si="1"/>
        <v/>
      </c>
      <c r="AP83"/>
    </row>
    <row r="84" spans="1:42" ht="56.5" hidden="1" x14ac:dyDescent="0.25">
      <c r="A84" s="9" t="s">
        <v>171</v>
      </c>
      <c r="B84" s="3" t="s">
        <v>172</v>
      </c>
      <c r="C84" s="3" t="s">
        <v>173</v>
      </c>
      <c r="D84" s="32" t="s">
        <v>218</v>
      </c>
      <c r="E84" s="32"/>
      <c r="F84" s="32" t="s">
        <v>218</v>
      </c>
      <c r="G84" s="32"/>
      <c r="H84" s="32" t="s">
        <v>218</v>
      </c>
      <c r="I84" s="32"/>
      <c r="J84" s="32" t="s">
        <v>218</v>
      </c>
      <c r="K84" s="32"/>
      <c r="L84" s="32" t="s">
        <v>218</v>
      </c>
      <c r="M84" s="32"/>
      <c r="N84" s="8" t="s">
        <v>218</v>
      </c>
      <c r="O84" s="8"/>
      <c r="P84" s="27" t="s">
        <v>218</v>
      </c>
      <c r="Q84" s="27"/>
      <c r="R84" s="8" t="s">
        <v>218</v>
      </c>
      <c r="S84" s="8"/>
      <c r="T84" s="19" t="str">
        <f t="shared" si="1"/>
        <v/>
      </c>
      <c r="AP84"/>
    </row>
    <row r="85" spans="1:42" ht="70" hidden="1" x14ac:dyDescent="0.25">
      <c r="A85" s="9" t="s">
        <v>174</v>
      </c>
      <c r="B85" s="3" t="s">
        <v>175</v>
      </c>
      <c r="C85" s="3" t="s">
        <v>176</v>
      </c>
      <c r="D85" s="32" t="s">
        <v>218</v>
      </c>
      <c r="E85" s="32"/>
      <c r="F85" s="32" t="s">
        <v>218</v>
      </c>
      <c r="G85" s="32"/>
      <c r="H85" s="32" t="s">
        <v>218</v>
      </c>
      <c r="I85" s="32"/>
      <c r="J85" s="32" t="s">
        <v>218</v>
      </c>
      <c r="K85" s="32"/>
      <c r="L85" s="32" t="s">
        <v>218</v>
      </c>
      <c r="M85" s="32"/>
      <c r="N85" s="8" t="s">
        <v>218</v>
      </c>
      <c r="O85" s="8"/>
      <c r="P85" s="27" t="s">
        <v>218</v>
      </c>
      <c r="Q85" s="27"/>
      <c r="R85" s="8" t="s">
        <v>218</v>
      </c>
      <c r="S85" s="8"/>
      <c r="T85" s="19" t="str">
        <f t="shared" si="1"/>
        <v/>
      </c>
      <c r="AP85"/>
    </row>
    <row r="86" spans="1:42" ht="28" hidden="1" x14ac:dyDescent="0.25">
      <c r="A86" s="7"/>
      <c r="B86" s="7"/>
      <c r="C86" s="26" t="s">
        <v>177</v>
      </c>
      <c r="D86" s="7"/>
      <c r="E86" s="7"/>
      <c r="F86" s="35"/>
      <c r="G86" s="35"/>
      <c r="H86" s="7"/>
      <c r="I86" s="7"/>
      <c r="J86" s="35"/>
      <c r="K86" s="35"/>
      <c r="L86" s="7"/>
      <c r="M86" s="7"/>
      <c r="N86" s="35"/>
      <c r="O86" s="35"/>
      <c r="P86" s="7"/>
      <c r="Q86" s="7"/>
      <c r="R86" s="35"/>
      <c r="S86" s="35"/>
      <c r="T86" s="19" t="str">
        <f t="shared" si="1"/>
        <v/>
      </c>
      <c r="AP86"/>
    </row>
    <row r="87" spans="1:42" ht="56" hidden="1" x14ac:dyDescent="0.25">
      <c r="A87" s="9" t="s">
        <v>178</v>
      </c>
      <c r="B87" s="3" t="s">
        <v>179</v>
      </c>
      <c r="C87" s="3" t="s">
        <v>180</v>
      </c>
      <c r="D87" s="32" t="s">
        <v>218</v>
      </c>
      <c r="E87" s="32"/>
      <c r="F87" s="32" t="s">
        <v>218</v>
      </c>
      <c r="G87" s="32"/>
      <c r="H87" s="32" t="s">
        <v>218</v>
      </c>
      <c r="I87" s="32"/>
      <c r="J87" s="32" t="s">
        <v>218</v>
      </c>
      <c r="K87" s="32"/>
      <c r="L87" s="32" t="s">
        <v>218</v>
      </c>
      <c r="M87" s="32"/>
      <c r="N87" s="8" t="s">
        <v>218</v>
      </c>
      <c r="O87" s="8"/>
      <c r="P87" s="27" t="s">
        <v>218</v>
      </c>
      <c r="Q87" s="27"/>
      <c r="R87" s="8" t="s">
        <v>218</v>
      </c>
      <c r="S87" s="8"/>
      <c r="T87" s="19" t="str">
        <f t="shared" si="1"/>
        <v/>
      </c>
      <c r="AP87"/>
    </row>
    <row r="88" spans="1:42" ht="56" hidden="1" x14ac:dyDescent="0.25">
      <c r="A88" s="9" t="s">
        <v>181</v>
      </c>
      <c r="B88" s="3" t="s">
        <v>182</v>
      </c>
      <c r="C88" s="3" t="s">
        <v>183</v>
      </c>
      <c r="D88" s="32" t="s">
        <v>218</v>
      </c>
      <c r="E88" s="32"/>
      <c r="F88" s="32" t="s">
        <v>218</v>
      </c>
      <c r="G88" s="32"/>
      <c r="H88" s="32" t="s">
        <v>218</v>
      </c>
      <c r="I88" s="32"/>
      <c r="J88" s="32" t="s">
        <v>218</v>
      </c>
      <c r="K88" s="32"/>
      <c r="L88" s="32" t="s">
        <v>218</v>
      </c>
      <c r="M88" s="32"/>
      <c r="N88" s="8" t="s">
        <v>218</v>
      </c>
      <c r="O88" s="8"/>
      <c r="P88" s="27" t="s">
        <v>218</v>
      </c>
      <c r="Q88" s="27"/>
      <c r="R88" s="8" t="s">
        <v>218</v>
      </c>
      <c r="S88" s="8"/>
      <c r="T88" s="19" t="str">
        <f t="shared" si="1"/>
        <v/>
      </c>
      <c r="AP88"/>
    </row>
    <row r="89" spans="1:42" ht="28" hidden="1" x14ac:dyDescent="0.25">
      <c r="A89" s="9" t="s">
        <v>184</v>
      </c>
      <c r="B89" s="3" t="s">
        <v>185</v>
      </c>
      <c r="C89" s="3" t="s">
        <v>186</v>
      </c>
      <c r="D89" s="32" t="s">
        <v>218</v>
      </c>
      <c r="E89" s="32"/>
      <c r="F89" s="32" t="s">
        <v>218</v>
      </c>
      <c r="G89" s="32"/>
      <c r="H89" s="32" t="s">
        <v>218</v>
      </c>
      <c r="I89" s="32"/>
      <c r="J89" s="32" t="s">
        <v>218</v>
      </c>
      <c r="K89" s="32"/>
      <c r="L89" s="32" t="s">
        <v>218</v>
      </c>
      <c r="M89" s="32"/>
      <c r="N89" s="8" t="s">
        <v>218</v>
      </c>
      <c r="O89" s="8"/>
      <c r="P89" s="27" t="s">
        <v>218</v>
      </c>
      <c r="Q89" s="27"/>
      <c r="R89" s="8" t="s">
        <v>218</v>
      </c>
      <c r="S89" s="8"/>
      <c r="T89" s="19" t="str">
        <f t="shared" si="1"/>
        <v/>
      </c>
      <c r="AP89"/>
    </row>
    <row r="90" spans="1:42" ht="56" hidden="1" x14ac:dyDescent="0.25">
      <c r="A90" s="9" t="s">
        <v>187</v>
      </c>
      <c r="B90" s="3" t="s">
        <v>188</v>
      </c>
      <c r="C90" s="3" t="s">
        <v>189</v>
      </c>
      <c r="D90" s="32" t="s">
        <v>218</v>
      </c>
      <c r="E90" s="32"/>
      <c r="F90" s="32" t="s">
        <v>218</v>
      </c>
      <c r="G90" s="32"/>
      <c r="H90" s="32" t="s">
        <v>218</v>
      </c>
      <c r="I90" s="32"/>
      <c r="J90" s="32" t="s">
        <v>218</v>
      </c>
      <c r="K90" s="32"/>
      <c r="L90" s="32" t="s">
        <v>218</v>
      </c>
      <c r="M90" s="32"/>
      <c r="N90" s="8" t="s">
        <v>218</v>
      </c>
      <c r="O90" s="8"/>
      <c r="P90" s="27" t="s">
        <v>218</v>
      </c>
      <c r="Q90" s="27"/>
      <c r="R90" s="8" t="s">
        <v>218</v>
      </c>
      <c r="S90" s="8"/>
      <c r="T90" s="19" t="str">
        <f t="shared" si="1"/>
        <v/>
      </c>
      <c r="AP90"/>
    </row>
    <row r="91" spans="1:42" ht="57" hidden="1" x14ac:dyDescent="0.25">
      <c r="A91" s="9" t="s">
        <v>190</v>
      </c>
      <c r="B91" s="3" t="s">
        <v>191</v>
      </c>
      <c r="C91" s="3" t="s">
        <v>192</v>
      </c>
      <c r="D91" s="32" t="s">
        <v>218</v>
      </c>
      <c r="E91" s="32"/>
      <c r="F91" s="32" t="s">
        <v>218</v>
      </c>
      <c r="G91" s="32"/>
      <c r="H91" s="32" t="s">
        <v>218</v>
      </c>
      <c r="I91" s="32"/>
      <c r="J91" s="32" t="s">
        <v>218</v>
      </c>
      <c r="K91" s="32"/>
      <c r="L91" s="32" t="s">
        <v>218</v>
      </c>
      <c r="M91" s="32"/>
      <c r="N91" s="8" t="s">
        <v>218</v>
      </c>
      <c r="O91" s="8"/>
      <c r="P91" s="27" t="s">
        <v>218</v>
      </c>
      <c r="Q91" s="27"/>
      <c r="R91" s="8" t="s">
        <v>218</v>
      </c>
      <c r="S91" s="8"/>
      <c r="T91" s="19" t="str">
        <f t="shared" si="1"/>
        <v/>
      </c>
      <c r="AP91"/>
    </row>
    <row r="92" spans="1:42" ht="58" hidden="1" x14ac:dyDescent="0.25">
      <c r="A92" s="9" t="s">
        <v>193</v>
      </c>
      <c r="B92" s="3" t="s">
        <v>194</v>
      </c>
      <c r="C92" s="3" t="s">
        <v>195</v>
      </c>
      <c r="D92" s="32" t="s">
        <v>218</v>
      </c>
      <c r="E92" s="32"/>
      <c r="F92" s="32" t="s">
        <v>218</v>
      </c>
      <c r="G92" s="32"/>
      <c r="H92" s="32" t="s">
        <v>218</v>
      </c>
      <c r="I92" s="32"/>
      <c r="J92" s="32" t="s">
        <v>218</v>
      </c>
      <c r="K92" s="32"/>
      <c r="L92" s="32" t="s">
        <v>218</v>
      </c>
      <c r="M92" s="32"/>
      <c r="N92" s="8" t="s">
        <v>218</v>
      </c>
      <c r="O92" s="8"/>
      <c r="P92" s="27" t="s">
        <v>218</v>
      </c>
      <c r="Q92" s="27"/>
      <c r="R92" s="8" t="s">
        <v>218</v>
      </c>
      <c r="S92" s="8"/>
      <c r="T92" s="19" t="str">
        <f t="shared" si="1"/>
        <v/>
      </c>
      <c r="AP92"/>
    </row>
    <row r="93" spans="1:42" ht="57" hidden="1" x14ac:dyDescent="0.25">
      <c r="A93" s="9" t="s">
        <v>196</v>
      </c>
      <c r="B93" s="3" t="s">
        <v>197</v>
      </c>
      <c r="C93" s="3" t="s">
        <v>198</v>
      </c>
      <c r="D93" s="32" t="s">
        <v>218</v>
      </c>
      <c r="E93" s="32"/>
      <c r="F93" s="32" t="s">
        <v>218</v>
      </c>
      <c r="G93" s="32"/>
      <c r="H93" s="32" t="s">
        <v>218</v>
      </c>
      <c r="I93" s="32"/>
      <c r="J93" s="32" t="s">
        <v>218</v>
      </c>
      <c r="K93" s="32"/>
      <c r="L93" s="32" t="s">
        <v>218</v>
      </c>
      <c r="M93" s="32"/>
      <c r="N93" s="8" t="s">
        <v>218</v>
      </c>
      <c r="O93" s="8"/>
      <c r="P93" s="27" t="s">
        <v>218</v>
      </c>
      <c r="Q93" s="27"/>
      <c r="R93" s="8" t="s">
        <v>218</v>
      </c>
      <c r="S93" s="8"/>
      <c r="T93" s="19" t="str">
        <f t="shared" si="1"/>
        <v/>
      </c>
      <c r="AP93"/>
    </row>
    <row r="94" spans="1:42" ht="42" hidden="1" x14ac:dyDescent="0.25">
      <c r="A94" s="9" t="s">
        <v>199</v>
      </c>
      <c r="B94" s="3" t="s">
        <v>200</v>
      </c>
      <c r="C94" s="3" t="s">
        <v>201</v>
      </c>
      <c r="D94" s="32" t="s">
        <v>218</v>
      </c>
      <c r="E94" s="32"/>
      <c r="F94" s="32" t="s">
        <v>218</v>
      </c>
      <c r="G94" s="32"/>
      <c r="H94" s="32" t="s">
        <v>218</v>
      </c>
      <c r="I94" s="32"/>
      <c r="J94" s="32" t="s">
        <v>218</v>
      </c>
      <c r="K94" s="32"/>
      <c r="L94" s="32" t="s">
        <v>218</v>
      </c>
      <c r="M94" s="32"/>
      <c r="N94" s="8" t="s">
        <v>218</v>
      </c>
      <c r="O94" s="8"/>
      <c r="P94" s="27" t="s">
        <v>218</v>
      </c>
      <c r="Q94" s="27"/>
      <c r="R94" s="8" t="s">
        <v>218</v>
      </c>
      <c r="S94" s="8"/>
      <c r="T94" s="19" t="str">
        <f t="shared" si="1"/>
        <v/>
      </c>
      <c r="AP94"/>
    </row>
    <row r="95" spans="1:42" ht="28" hidden="1" x14ac:dyDescent="0.25">
      <c r="A95" s="7"/>
      <c r="B95" s="7"/>
      <c r="C95" s="2" t="s">
        <v>202</v>
      </c>
      <c r="D95" s="7"/>
      <c r="E95" s="7"/>
      <c r="F95" s="35"/>
      <c r="G95" s="35"/>
      <c r="H95" s="7"/>
      <c r="I95" s="7"/>
      <c r="J95" s="35"/>
      <c r="K95" s="35"/>
      <c r="L95" s="7"/>
      <c r="M95" s="7"/>
      <c r="N95" s="35"/>
      <c r="O95" s="35"/>
      <c r="P95" s="7"/>
      <c r="Q95" s="7"/>
      <c r="R95" s="35"/>
      <c r="S95" s="35"/>
      <c r="T95" s="19" t="str">
        <f t="shared" si="1"/>
        <v/>
      </c>
      <c r="AP95"/>
    </row>
    <row r="96" spans="1:42" ht="42" hidden="1" x14ac:dyDescent="0.25">
      <c r="A96" s="9" t="s">
        <v>203</v>
      </c>
      <c r="B96" s="3" t="s">
        <v>204</v>
      </c>
      <c r="C96" s="3" t="s">
        <v>205</v>
      </c>
      <c r="D96" s="32" t="s">
        <v>218</v>
      </c>
      <c r="E96" s="32"/>
      <c r="F96" s="32" t="s">
        <v>218</v>
      </c>
      <c r="G96" s="32"/>
      <c r="H96" s="32" t="s">
        <v>218</v>
      </c>
      <c r="I96" s="32"/>
      <c r="J96" s="32" t="s">
        <v>218</v>
      </c>
      <c r="K96" s="32"/>
      <c r="L96" s="32" t="s">
        <v>218</v>
      </c>
      <c r="M96" s="32"/>
      <c r="N96" s="8" t="s">
        <v>218</v>
      </c>
      <c r="O96" s="8"/>
      <c r="P96" s="27" t="s">
        <v>218</v>
      </c>
      <c r="Q96" s="27"/>
      <c r="R96" s="8" t="s">
        <v>218</v>
      </c>
      <c r="S96" s="8"/>
      <c r="T96" s="19" t="str">
        <f t="shared" si="1"/>
        <v/>
      </c>
      <c r="AP96"/>
    </row>
    <row r="97" spans="1:42" ht="56" hidden="1" x14ac:dyDescent="0.25">
      <c r="A97" s="9" t="s">
        <v>206</v>
      </c>
      <c r="B97" s="3" t="s">
        <v>207</v>
      </c>
      <c r="C97" s="3" t="s">
        <v>208</v>
      </c>
      <c r="D97" s="32" t="s">
        <v>218</v>
      </c>
      <c r="E97" s="32"/>
      <c r="F97" s="32" t="s">
        <v>218</v>
      </c>
      <c r="G97" s="32"/>
      <c r="H97" s="32" t="s">
        <v>218</v>
      </c>
      <c r="I97" s="32"/>
      <c r="J97" s="32" t="s">
        <v>218</v>
      </c>
      <c r="K97" s="32"/>
      <c r="L97" s="32" t="s">
        <v>218</v>
      </c>
      <c r="M97" s="32"/>
      <c r="N97" s="8" t="s">
        <v>218</v>
      </c>
      <c r="O97" s="8"/>
      <c r="P97" s="27" t="s">
        <v>218</v>
      </c>
      <c r="Q97" s="27"/>
      <c r="R97" s="8" t="s">
        <v>218</v>
      </c>
      <c r="S97" s="8"/>
      <c r="T97" s="19" t="str">
        <f t="shared" si="1"/>
        <v/>
      </c>
      <c r="AP97"/>
    </row>
    <row r="98" spans="1:42" ht="43" hidden="1" x14ac:dyDescent="0.25">
      <c r="A98" s="9" t="s">
        <v>209</v>
      </c>
      <c r="B98" s="3" t="s">
        <v>210</v>
      </c>
      <c r="C98" s="3" t="s">
        <v>211</v>
      </c>
      <c r="D98" s="32" t="s">
        <v>218</v>
      </c>
      <c r="E98" s="32"/>
      <c r="F98" s="32" t="s">
        <v>218</v>
      </c>
      <c r="G98" s="32"/>
      <c r="H98" s="32" t="s">
        <v>218</v>
      </c>
      <c r="I98" s="32"/>
      <c r="J98" s="32" t="s">
        <v>218</v>
      </c>
      <c r="K98" s="32"/>
      <c r="L98" s="32" t="s">
        <v>218</v>
      </c>
      <c r="M98" s="32"/>
      <c r="N98" s="8" t="s">
        <v>218</v>
      </c>
      <c r="O98" s="8"/>
      <c r="P98" s="27" t="s">
        <v>218</v>
      </c>
      <c r="Q98" s="27"/>
      <c r="R98" s="8" t="s">
        <v>218</v>
      </c>
      <c r="S98" s="8"/>
      <c r="T98" s="19" t="str">
        <f t="shared" si="1"/>
        <v/>
      </c>
      <c r="AP98"/>
    </row>
    <row r="99" spans="1:42" ht="28.5" hidden="1" x14ac:dyDescent="0.25">
      <c r="A99" s="9" t="s">
        <v>212</v>
      </c>
      <c r="B99" s="3" t="s">
        <v>213</v>
      </c>
      <c r="C99" s="3" t="s">
        <v>214</v>
      </c>
      <c r="D99" s="32" t="s">
        <v>218</v>
      </c>
      <c r="E99" s="32"/>
      <c r="F99" s="32" t="s">
        <v>218</v>
      </c>
      <c r="G99" s="32"/>
      <c r="H99" s="32" t="s">
        <v>218</v>
      </c>
      <c r="I99" s="32"/>
      <c r="J99" s="32" t="s">
        <v>218</v>
      </c>
      <c r="K99" s="32"/>
      <c r="L99" s="32" t="s">
        <v>218</v>
      </c>
      <c r="M99" s="32"/>
      <c r="N99" s="8" t="s">
        <v>218</v>
      </c>
      <c r="O99" s="8"/>
      <c r="P99" s="27" t="s">
        <v>218</v>
      </c>
      <c r="Q99" s="27"/>
      <c r="R99" s="8" t="s">
        <v>218</v>
      </c>
      <c r="S99" s="8"/>
      <c r="T99" s="19" t="str">
        <f t="shared" si="1"/>
        <v/>
      </c>
      <c r="AP99"/>
    </row>
    <row r="100" spans="1:42" ht="28" hidden="1" x14ac:dyDescent="0.25">
      <c r="A100" s="9" t="s">
        <v>215</v>
      </c>
      <c r="B100" s="3" t="s">
        <v>216</v>
      </c>
      <c r="C100" s="3" t="s">
        <v>217</v>
      </c>
      <c r="D100" s="32" t="s">
        <v>218</v>
      </c>
      <c r="E100" s="32"/>
      <c r="F100" s="32" t="s">
        <v>218</v>
      </c>
      <c r="G100" s="32"/>
      <c r="H100" s="32" t="s">
        <v>218</v>
      </c>
      <c r="I100" s="32"/>
      <c r="J100" s="32" t="s">
        <v>218</v>
      </c>
      <c r="K100" s="32"/>
      <c r="L100" s="32" t="s">
        <v>218</v>
      </c>
      <c r="M100" s="32"/>
      <c r="N100" s="8" t="s">
        <v>218</v>
      </c>
      <c r="O100" s="8"/>
      <c r="P100" s="27" t="s">
        <v>218</v>
      </c>
      <c r="Q100" s="27"/>
      <c r="R100" s="8" t="s">
        <v>218</v>
      </c>
      <c r="S100" s="8"/>
      <c r="T100" s="19" t="str">
        <f t="shared" si="1"/>
        <v/>
      </c>
      <c r="AP100"/>
    </row>
    <row r="101" spans="1:42" x14ac:dyDescent="0.25">
      <c r="A101" s="7"/>
      <c r="B101" s="22"/>
      <c r="C101" s="2" t="s">
        <v>275</v>
      </c>
      <c r="D101" s="22">
        <f>COUNTIF(D5:D100,"MV")</f>
        <v>14</v>
      </c>
      <c r="E101" s="22">
        <f t="shared" ref="E101:S101" si="2">COUNTIF(E5:E100,"MV")</f>
        <v>0</v>
      </c>
      <c r="F101" s="22">
        <f t="shared" si="2"/>
        <v>13</v>
      </c>
      <c r="G101" s="22">
        <f t="shared" si="2"/>
        <v>0</v>
      </c>
      <c r="H101" s="22">
        <f t="shared" si="2"/>
        <v>14</v>
      </c>
      <c r="I101" s="22">
        <f t="shared" si="2"/>
        <v>0</v>
      </c>
      <c r="J101" s="22">
        <f t="shared" si="2"/>
        <v>14</v>
      </c>
      <c r="K101" s="22">
        <f t="shared" si="2"/>
        <v>0</v>
      </c>
      <c r="L101" s="22">
        <f t="shared" si="2"/>
        <v>16</v>
      </c>
      <c r="M101" s="22">
        <f t="shared" si="2"/>
        <v>0</v>
      </c>
      <c r="N101" s="22">
        <f t="shared" si="2"/>
        <v>11</v>
      </c>
      <c r="O101" s="22">
        <f t="shared" si="2"/>
        <v>0</v>
      </c>
      <c r="P101" s="22">
        <f t="shared" si="2"/>
        <v>11</v>
      </c>
      <c r="Q101" s="22">
        <f t="shared" si="2"/>
        <v>0</v>
      </c>
      <c r="R101" s="22">
        <f t="shared" si="2"/>
        <v>12</v>
      </c>
      <c r="S101" s="22">
        <f t="shared" si="2"/>
        <v>0</v>
      </c>
      <c r="T101" s="22">
        <f>COUNTIF(T5:T100,"Esineb mittevastavus")</f>
        <v>20</v>
      </c>
      <c r="AP101"/>
    </row>
  </sheetData>
  <autoFilter ref="A3:AP101" xr:uid="{9615D497-DC26-41F3-A483-BC8FB144A10F}">
    <filterColumn colId="19">
      <customFilters>
        <customFilter operator="notEqual" val=" "/>
      </customFilters>
    </filterColumn>
  </autoFilter>
  <mergeCells count="16">
    <mergeCell ref="D1:E1"/>
    <mergeCell ref="F1:G1"/>
    <mergeCell ref="H1:I1"/>
    <mergeCell ref="J1:K1"/>
    <mergeCell ref="L1:M1"/>
    <mergeCell ref="N1:O1"/>
    <mergeCell ref="P1:Q1"/>
    <mergeCell ref="R1:S1"/>
    <mergeCell ref="D2:E2"/>
    <mergeCell ref="F2:G2"/>
    <mergeCell ref="H2:I2"/>
    <mergeCell ref="J2:K2"/>
    <mergeCell ref="L2:M2"/>
    <mergeCell ref="N2:O2"/>
    <mergeCell ref="P2:Q2"/>
    <mergeCell ref="R2:S2"/>
  </mergeCells>
  <phoneticPr fontId="25" type="noConversion"/>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A5A5AE79EA0AA14387D0F12674C697E2" ma:contentTypeVersion="13" ma:contentTypeDescription="Loo uus dokument" ma:contentTypeScope="" ma:versionID="67d0c0f18dfc52ae45171d5b54e8295c">
  <xsd:schema xmlns:xsd="http://www.w3.org/2001/XMLSchema" xmlns:xs="http://www.w3.org/2001/XMLSchema" xmlns:p="http://schemas.microsoft.com/office/2006/metadata/properties" xmlns:ns2="4dd487c2-4120-4e14-9edc-5bc38f01d838" xmlns:ns3="26d9ca15-77fd-46e5-aa4b-743781a3442a" targetNamespace="http://schemas.microsoft.com/office/2006/metadata/properties" ma:root="true" ma:fieldsID="b34b1b5ca6cdf608ada27ac4e76f0c59" ns2:_="" ns3:_="">
    <xsd:import namespace="4dd487c2-4120-4e14-9edc-5bc38f01d838"/>
    <xsd:import namespace="26d9ca15-77fd-46e5-aa4b-743781a3442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MediaServiceBillingMetadata" minOccurs="0"/>
                <xsd:element ref="ns2:lcf76f155ced4ddcb4097134ff3c332f" minOccurs="0"/>
                <xsd:element ref="ns3:TaxCatchAll" minOccurs="0"/>
                <xsd:element ref="ns2:MediaServiceOCR"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dd487c2-4120-4e14-9edc-5bc38f01d83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BillingMetadata" ma:index="15" nillable="true" ma:displayName="MediaServiceBillingMetadata" ma:hidden="true" ma:internalName="MediaServiceBillingMetadata" ma:readOnly="true">
      <xsd:simpleType>
        <xsd:restriction base="dms:Note"/>
      </xsd:simpleType>
    </xsd:element>
    <xsd:element name="lcf76f155ced4ddcb4097134ff3c332f" ma:index="17" nillable="true" ma:taxonomy="true" ma:internalName="lcf76f155ced4ddcb4097134ff3c332f" ma:taxonomyFieldName="MediaServiceImageTags" ma:displayName="Pildisildid" ma:readOnly="false" ma:fieldId="{5cf76f15-5ced-4ddc-b409-7134ff3c332f}" ma:taxonomyMulti="true" ma:sspId="8bf6974d-894c-4b76-94e9-da4eaeb0c39e"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Location" ma:index="20"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6d9ca15-77fd-46e5-aa4b-743781a3442a"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ffdce312-b407-40ed-87c1-5dd3a5d4b989}" ma:internalName="TaxCatchAll" ma:showField="CatchAllData" ma:web="26d9ca15-77fd-46e5-aa4b-743781a3442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Sisutüüp"/>
        <xsd:element ref="dc:title" minOccurs="0" maxOccurs="1" ma:index="4" ma:displayName="Pealkiri"/>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4dd487c2-4120-4e14-9edc-5bc38f01d838">
      <Terms xmlns="http://schemas.microsoft.com/office/infopath/2007/PartnerControls"/>
    </lcf76f155ced4ddcb4097134ff3c332f>
    <TaxCatchAll xmlns="26d9ca15-77fd-46e5-aa4b-743781a3442a" xsi:nil="true"/>
  </documentManagement>
</p:properties>
</file>

<file path=customXml/itemProps1.xml><?xml version="1.0" encoding="utf-8"?>
<ds:datastoreItem xmlns:ds="http://schemas.openxmlformats.org/officeDocument/2006/customXml" ds:itemID="{7DA3ABF7-171C-442C-97E6-C64D41AFD2AC}"/>
</file>

<file path=customXml/itemProps2.xml><?xml version="1.0" encoding="utf-8"?>
<ds:datastoreItem xmlns:ds="http://schemas.openxmlformats.org/officeDocument/2006/customXml" ds:itemID="{78A86F87-3104-4A25-94D9-024F6A19A002}"/>
</file>

<file path=customXml/itemProps3.xml><?xml version="1.0" encoding="utf-8"?>
<ds:datastoreItem xmlns:ds="http://schemas.openxmlformats.org/officeDocument/2006/customXml" ds:itemID="{C67EFAB2-E953-4A90-9202-734DAA99AF7F}"/>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Töölehed</vt:lpstr>
      </vt:variant>
      <vt:variant>
        <vt:i4>3</vt:i4>
      </vt:variant>
    </vt:vector>
  </HeadingPairs>
  <TitlesOfParts>
    <vt:vector size="3" baseType="lpstr">
      <vt:lpstr>Tiitelleht</vt:lpstr>
      <vt:lpstr>Valim ja tulemused</vt:lpstr>
      <vt:lpstr>Veebid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2026-07-08T08:42:51Z</dcterms:created>
  <dcterms:modified xsi:type="dcterms:W3CDTF">2026-07-08T08:44:19Z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0x010100A5A5AE79EA0AA14387D0F12674C697E2</vt:lpwstr>
  </property>
</Properties>
</file>